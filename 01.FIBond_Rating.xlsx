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filesrv01.msb.com.vn\06.Khoi Quan Ly Rui Ro\02.Trung Tam QLRR Thi Truong\02.Phong GSRRTT\05.Report\02.Monthly Report\06. Bond Monthly\03.FIBond_Internal rating\"/>
    </mc:Choice>
  </mc:AlternateContent>
  <xr:revisionPtr revIDLastSave="0" documentId="8_{DA754B3F-DD5C-48A2-ACCE-70FC89CEAD68}" xr6:coauthVersionLast="47" xr6:coauthVersionMax="47" xr10:uidLastSave="{00000000-0000-0000-0000-000000000000}"/>
  <bookViews>
    <workbookView xWindow="-100" yWindow="-100" windowWidth="21467" windowHeight="11443" activeTab="1" xr2:uid="{88EC6283-8B4C-4312-A127-8AA62FD23C3F}"/>
  </bookViews>
  <sheets>
    <sheet name="Log" sheetId="13" r:id="rId1"/>
    <sheet name="Report" sheetId="8" r:id="rId2"/>
    <sheet name="Portfolio" sheetId="7" r:id="rId3"/>
    <sheet name="Rating" sheetId="2" r:id="rId4"/>
    <sheet name="Cpty" sheetId="3" r:id="rId5"/>
    <sheet name="Ref" sheetId="11" r:id="rId6"/>
  </sheets>
  <definedNames>
    <definedName name="_xlnm._FilterDatabase" localSheetId="3" hidden="1">Rating!#REF!</definedName>
    <definedName name="Ạ2">Portfolio!$AI$49</definedName>
    <definedName name="ExternalData_1" localSheetId="5" hidden="1">'Ref'!$J$1:$AN$3</definedName>
    <definedName name="ExternalData_2" localSheetId="2" hidden="1">Portfolio!$K$1:$Q$23</definedName>
    <definedName name="ExternalData_2" localSheetId="3" hidden="1">Rating!$Q$1:$V$197</definedName>
    <definedName name="ExternalData_3" localSheetId="2" hidden="1">Portfolio!$W$1:$AG$48</definedName>
    <definedName name="ExternalData_3" localSheetId="3" hidden="1">Rating!$A$1:$K$204</definedName>
    <definedName name="ExternalData_4" localSheetId="5" hidden="1">'Ref'!$E$1:$H$60</definedName>
    <definedName name="RPT">Report!$C$2</definedName>
    <definedName name="Yesterday">Report!$C$3</definedName>
  </definedNames>
  <calcPr calcId="191029"/>
  <pivotCaches>
    <pivotCache cacheId="14" r:id="rId7"/>
    <pivotCache cacheId="1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9" i="7" l="1"/>
  <c r="E10" i="7" l="1"/>
  <c r="H10" i="7"/>
  <c r="N2" i="2"/>
  <c r="L2" i="2" s="1"/>
  <c r="N3" i="2"/>
  <c r="L3" i="2" s="1"/>
  <c r="N4" i="2"/>
  <c r="L4" i="2" s="1"/>
  <c r="N5" i="2"/>
  <c r="L5" i="2" s="1"/>
  <c r="N6" i="2"/>
  <c r="L6" i="2" s="1"/>
  <c r="N7" i="2"/>
  <c r="L7" i="2" s="1"/>
  <c r="N8" i="2"/>
  <c r="L8" i="2" s="1"/>
  <c r="N9" i="2"/>
  <c r="M9" i="2" s="1"/>
  <c r="N10" i="2"/>
  <c r="M10" i="2" s="1"/>
  <c r="N11" i="2"/>
  <c r="L11" i="2" s="1"/>
  <c r="N12" i="2"/>
  <c r="M12" i="2" s="1"/>
  <c r="N13" i="2"/>
  <c r="M13" i="2" s="1"/>
  <c r="N14" i="2"/>
  <c r="M14" i="2" s="1"/>
  <c r="N15" i="2"/>
  <c r="M15" i="2" s="1"/>
  <c r="N16" i="2"/>
  <c r="L16" i="2" s="1"/>
  <c r="N17" i="2"/>
  <c r="L17" i="2" s="1"/>
  <c r="N18" i="2"/>
  <c r="L18" i="2" s="1"/>
  <c r="N19" i="2"/>
  <c r="L19" i="2" s="1"/>
  <c r="N20" i="2"/>
  <c r="L20" i="2" s="1"/>
  <c r="N21" i="2"/>
  <c r="L21" i="2" s="1"/>
  <c r="N22" i="2"/>
  <c r="L22" i="2" s="1"/>
  <c r="N23" i="2"/>
  <c r="M23" i="2" s="1"/>
  <c r="N24" i="2"/>
  <c r="M24" i="2" s="1"/>
  <c r="N25" i="2"/>
  <c r="L25" i="2" s="1"/>
  <c r="N26" i="2"/>
  <c r="M26" i="2" s="1"/>
  <c r="N27" i="2"/>
  <c r="M27" i="2" s="1"/>
  <c r="N28" i="2"/>
  <c r="M28" i="2" s="1"/>
  <c r="N29" i="2"/>
  <c r="M29" i="2" s="1"/>
  <c r="N30" i="2"/>
  <c r="L30" i="2" s="1"/>
  <c r="N31" i="2"/>
  <c r="L31" i="2" s="1"/>
  <c r="N32" i="2"/>
  <c r="L32" i="2" s="1"/>
  <c r="N33" i="2"/>
  <c r="L33" i="2" s="1"/>
  <c r="N34" i="2"/>
  <c r="L34" i="2" s="1"/>
  <c r="N35" i="2"/>
  <c r="L35" i="2" s="1"/>
  <c r="N36" i="2"/>
  <c r="L36" i="2" s="1"/>
  <c r="N37" i="2"/>
  <c r="M37" i="2" s="1"/>
  <c r="N38" i="2"/>
  <c r="M38" i="2" s="1"/>
  <c r="N39" i="2"/>
  <c r="L39" i="2" s="1"/>
  <c r="N40" i="2"/>
  <c r="M40" i="2" s="1"/>
  <c r="N41" i="2"/>
  <c r="M41" i="2" s="1"/>
  <c r="N42" i="2"/>
  <c r="M42" i="2" s="1"/>
  <c r="N43" i="2"/>
  <c r="M43" i="2" s="1"/>
  <c r="N44" i="2"/>
  <c r="L44" i="2" s="1"/>
  <c r="N45" i="2"/>
  <c r="L45" i="2" s="1"/>
  <c r="N46" i="2"/>
  <c r="L46" i="2" s="1"/>
  <c r="N47" i="2"/>
  <c r="L47" i="2" s="1"/>
  <c r="N48" i="2"/>
  <c r="L48" i="2" s="1"/>
  <c r="N49" i="2"/>
  <c r="L49" i="2" s="1"/>
  <c r="N50" i="2"/>
  <c r="L50" i="2" s="1"/>
  <c r="N51" i="2"/>
  <c r="M51" i="2" s="1"/>
  <c r="N52" i="2"/>
  <c r="M52" i="2" s="1"/>
  <c r="N53" i="2"/>
  <c r="L53" i="2" s="1"/>
  <c r="N54" i="2"/>
  <c r="M54" i="2" s="1"/>
  <c r="N55" i="2"/>
  <c r="M55" i="2" s="1"/>
  <c r="N56" i="2"/>
  <c r="M56" i="2" s="1"/>
  <c r="N57" i="2"/>
  <c r="M57" i="2" s="1"/>
  <c r="N58" i="2"/>
  <c r="L58" i="2" s="1"/>
  <c r="N59" i="2"/>
  <c r="L59" i="2" s="1"/>
  <c r="N60" i="2"/>
  <c r="L60" i="2" s="1"/>
  <c r="N61" i="2"/>
  <c r="L61" i="2" s="1"/>
  <c r="N62" i="2"/>
  <c r="L62" i="2" s="1"/>
  <c r="N63" i="2"/>
  <c r="L63" i="2" s="1"/>
  <c r="N64" i="2"/>
  <c r="L64" i="2" s="1"/>
  <c r="N65" i="2"/>
  <c r="M65" i="2" s="1"/>
  <c r="N66" i="2"/>
  <c r="M66" i="2" s="1"/>
  <c r="N67" i="2"/>
  <c r="L67" i="2" s="1"/>
  <c r="N68" i="2"/>
  <c r="M68" i="2" s="1"/>
  <c r="N69" i="2"/>
  <c r="M69" i="2" s="1"/>
  <c r="N70" i="2"/>
  <c r="M70" i="2" s="1"/>
  <c r="N71" i="2"/>
  <c r="M71" i="2" s="1"/>
  <c r="N72" i="2"/>
  <c r="L72" i="2" s="1"/>
  <c r="N73" i="2"/>
  <c r="L73" i="2" s="1"/>
  <c r="N74" i="2"/>
  <c r="L74" i="2" s="1"/>
  <c r="N75" i="2"/>
  <c r="L75" i="2" s="1"/>
  <c r="N76" i="2"/>
  <c r="L76" i="2" s="1"/>
  <c r="N77" i="2"/>
  <c r="L77" i="2" s="1"/>
  <c r="N78" i="2"/>
  <c r="L78" i="2" s="1"/>
  <c r="N79" i="2"/>
  <c r="M79" i="2" s="1"/>
  <c r="N80" i="2"/>
  <c r="M80" i="2" s="1"/>
  <c r="N81" i="2"/>
  <c r="L81" i="2" s="1"/>
  <c r="N82" i="2"/>
  <c r="M82" i="2" s="1"/>
  <c r="N83" i="2"/>
  <c r="M83" i="2" s="1"/>
  <c r="N84" i="2"/>
  <c r="M84" i="2" s="1"/>
  <c r="N85" i="2"/>
  <c r="M85" i="2" s="1"/>
  <c r="N86" i="2"/>
  <c r="L86" i="2" s="1"/>
  <c r="N87" i="2"/>
  <c r="L87" i="2" s="1"/>
  <c r="N88" i="2"/>
  <c r="L88" i="2" s="1"/>
  <c r="N89" i="2"/>
  <c r="L89" i="2" s="1"/>
  <c r="N90" i="2"/>
  <c r="L90" i="2" s="1"/>
  <c r="N91" i="2"/>
  <c r="L91" i="2" s="1"/>
  <c r="N92" i="2"/>
  <c r="L92" i="2" s="1"/>
  <c r="N93" i="2"/>
  <c r="M93" i="2" s="1"/>
  <c r="N94" i="2"/>
  <c r="M94" i="2" s="1"/>
  <c r="N95" i="2"/>
  <c r="L95" i="2" s="1"/>
  <c r="N96" i="2"/>
  <c r="M96" i="2" s="1"/>
  <c r="N97" i="2"/>
  <c r="M97" i="2" s="1"/>
  <c r="N98" i="2"/>
  <c r="M98" i="2" s="1"/>
  <c r="N99" i="2"/>
  <c r="M99" i="2" s="1"/>
  <c r="N100" i="2"/>
  <c r="L100" i="2" s="1"/>
  <c r="N101" i="2"/>
  <c r="L101" i="2" s="1"/>
  <c r="N102" i="2"/>
  <c r="L102" i="2" s="1"/>
  <c r="N103" i="2"/>
  <c r="L103" i="2" s="1"/>
  <c r="N104" i="2"/>
  <c r="L104" i="2" s="1"/>
  <c r="N105" i="2"/>
  <c r="L105" i="2" s="1"/>
  <c r="N106" i="2"/>
  <c r="L106" i="2" s="1"/>
  <c r="N107" i="2"/>
  <c r="M107" i="2" s="1"/>
  <c r="N108" i="2"/>
  <c r="M108" i="2" s="1"/>
  <c r="N109" i="2"/>
  <c r="L109" i="2" s="1"/>
  <c r="N110" i="2"/>
  <c r="M110" i="2" s="1"/>
  <c r="N111" i="2"/>
  <c r="M111" i="2" s="1"/>
  <c r="N112" i="2"/>
  <c r="M112" i="2" s="1"/>
  <c r="N113" i="2"/>
  <c r="M113" i="2" s="1"/>
  <c r="N114" i="2"/>
  <c r="L114" i="2" s="1"/>
  <c r="N115" i="2"/>
  <c r="L115" i="2" s="1"/>
  <c r="N116" i="2"/>
  <c r="L116" i="2" s="1"/>
  <c r="N117" i="2"/>
  <c r="L117" i="2" s="1"/>
  <c r="N118" i="2"/>
  <c r="L118" i="2" s="1"/>
  <c r="N119" i="2"/>
  <c r="L119" i="2" s="1"/>
  <c r="N120" i="2"/>
  <c r="L120" i="2" s="1"/>
  <c r="N121" i="2"/>
  <c r="M121" i="2" s="1"/>
  <c r="N122" i="2"/>
  <c r="M122" i="2" s="1"/>
  <c r="N123" i="2"/>
  <c r="L123" i="2" s="1"/>
  <c r="N124" i="2"/>
  <c r="M124" i="2" s="1"/>
  <c r="N125" i="2"/>
  <c r="M125" i="2" s="1"/>
  <c r="N126" i="2"/>
  <c r="M126" i="2" s="1"/>
  <c r="N127" i="2"/>
  <c r="M127" i="2" s="1"/>
  <c r="N128" i="2"/>
  <c r="L128" i="2" s="1"/>
  <c r="N129" i="2"/>
  <c r="L129" i="2" s="1"/>
  <c r="N130" i="2"/>
  <c r="L130" i="2" s="1"/>
  <c r="N131" i="2"/>
  <c r="L131" i="2" s="1"/>
  <c r="N132" i="2"/>
  <c r="L132" i="2" s="1"/>
  <c r="N133" i="2"/>
  <c r="L133" i="2" s="1"/>
  <c r="N134" i="2"/>
  <c r="L134" i="2" s="1"/>
  <c r="N135" i="2"/>
  <c r="M135" i="2" s="1"/>
  <c r="N136" i="2"/>
  <c r="M136" i="2" s="1"/>
  <c r="N137" i="2"/>
  <c r="L137" i="2" s="1"/>
  <c r="N138" i="2"/>
  <c r="M138" i="2" s="1"/>
  <c r="N139" i="2"/>
  <c r="M139" i="2" s="1"/>
  <c r="N140" i="2"/>
  <c r="M140" i="2" s="1"/>
  <c r="N141" i="2"/>
  <c r="M141" i="2" s="1"/>
  <c r="N142" i="2"/>
  <c r="L142" i="2" s="1"/>
  <c r="N143" i="2"/>
  <c r="L143" i="2" s="1"/>
  <c r="N144" i="2"/>
  <c r="L144" i="2" s="1"/>
  <c r="N145" i="2"/>
  <c r="L145" i="2" s="1"/>
  <c r="N146" i="2"/>
  <c r="L146" i="2" s="1"/>
  <c r="N147" i="2"/>
  <c r="L147" i="2" s="1"/>
  <c r="N148" i="2"/>
  <c r="L148" i="2" s="1"/>
  <c r="N149" i="2"/>
  <c r="M149" i="2" s="1"/>
  <c r="N150" i="2"/>
  <c r="M150" i="2" s="1"/>
  <c r="N151" i="2"/>
  <c r="L151" i="2" s="1"/>
  <c r="N152" i="2"/>
  <c r="M152" i="2" s="1"/>
  <c r="N153" i="2"/>
  <c r="M153" i="2" s="1"/>
  <c r="N154" i="2"/>
  <c r="M154" i="2" s="1"/>
  <c r="N155" i="2"/>
  <c r="M155" i="2" s="1"/>
  <c r="N156" i="2"/>
  <c r="L156" i="2" s="1"/>
  <c r="N157" i="2"/>
  <c r="L157" i="2" s="1"/>
  <c r="N158" i="2"/>
  <c r="L158" i="2" s="1"/>
  <c r="N159" i="2"/>
  <c r="L159" i="2" s="1"/>
  <c r="N160" i="2"/>
  <c r="L160" i="2" s="1"/>
  <c r="N161" i="2"/>
  <c r="L161" i="2" s="1"/>
  <c r="N162" i="2"/>
  <c r="L162" i="2" s="1"/>
  <c r="N163" i="2"/>
  <c r="M163" i="2" s="1"/>
  <c r="N164" i="2"/>
  <c r="M164" i="2" s="1"/>
  <c r="N165" i="2"/>
  <c r="L165" i="2" s="1"/>
  <c r="N166" i="2"/>
  <c r="M166" i="2" s="1"/>
  <c r="N167" i="2"/>
  <c r="M167" i="2" s="1"/>
  <c r="N168" i="2"/>
  <c r="M168" i="2" s="1"/>
  <c r="N169" i="2"/>
  <c r="M169" i="2" s="1"/>
  <c r="N170" i="2"/>
  <c r="L170" i="2" s="1"/>
  <c r="N171" i="2"/>
  <c r="L171" i="2" s="1"/>
  <c r="N172" i="2"/>
  <c r="L172" i="2" s="1"/>
  <c r="N173" i="2"/>
  <c r="L173" i="2" s="1"/>
  <c r="N174" i="2"/>
  <c r="L174" i="2" s="1"/>
  <c r="N175" i="2"/>
  <c r="L175" i="2" s="1"/>
  <c r="N176" i="2"/>
  <c r="L176" i="2" s="1"/>
  <c r="N177" i="2"/>
  <c r="M177" i="2" s="1"/>
  <c r="N178" i="2"/>
  <c r="M178" i="2" s="1"/>
  <c r="N179" i="2"/>
  <c r="L179" i="2" s="1"/>
  <c r="N180" i="2"/>
  <c r="M180" i="2" s="1"/>
  <c r="N181" i="2"/>
  <c r="M181" i="2" s="1"/>
  <c r="N182" i="2"/>
  <c r="M182" i="2" s="1"/>
  <c r="N183" i="2"/>
  <c r="M183" i="2" s="1"/>
  <c r="N184" i="2"/>
  <c r="L184" i="2" s="1"/>
  <c r="N185" i="2"/>
  <c r="L185" i="2" s="1"/>
  <c r="N186" i="2"/>
  <c r="L186" i="2" s="1"/>
  <c r="N187" i="2"/>
  <c r="L187" i="2" s="1"/>
  <c r="N188" i="2"/>
  <c r="L188" i="2" s="1"/>
  <c r="N189" i="2"/>
  <c r="L189" i="2" s="1"/>
  <c r="N190" i="2"/>
  <c r="L190" i="2" s="1"/>
  <c r="N191" i="2"/>
  <c r="M191" i="2" s="1"/>
  <c r="N192" i="2"/>
  <c r="M192" i="2" s="1"/>
  <c r="N193" i="2"/>
  <c r="L193" i="2" s="1"/>
  <c r="N194" i="2"/>
  <c r="M194" i="2" s="1"/>
  <c r="N195" i="2"/>
  <c r="M195" i="2" s="1"/>
  <c r="N196" i="2"/>
  <c r="M196" i="2" s="1"/>
  <c r="N197" i="2"/>
  <c r="M197" i="2" s="1"/>
  <c r="N198" i="2"/>
  <c r="L198" i="2" s="1"/>
  <c r="N199" i="2"/>
  <c r="L199" i="2" s="1"/>
  <c r="N200" i="2"/>
  <c r="L200" i="2" s="1"/>
  <c r="N201" i="2"/>
  <c r="L201" i="2" s="1"/>
  <c r="N202" i="2"/>
  <c r="L202" i="2" s="1"/>
  <c r="N203" i="2"/>
  <c r="L203" i="2" s="1"/>
  <c r="N204" i="2"/>
  <c r="L204" i="2" s="1"/>
  <c r="M137" i="2" l="1"/>
  <c r="M109" i="2"/>
  <c r="M67" i="2"/>
  <c r="M53" i="2"/>
  <c r="M146" i="2"/>
  <c r="M145" i="2"/>
  <c r="M142" i="2"/>
  <c r="M106" i="2"/>
  <c r="M100" i="2"/>
  <c r="M72" i="2"/>
  <c r="M64" i="2"/>
  <c r="M187" i="2"/>
  <c r="M30" i="2"/>
  <c r="M184" i="2"/>
  <c r="M25" i="2"/>
  <c r="M179" i="2"/>
  <c r="M22" i="2"/>
  <c r="M193" i="2"/>
  <c r="M156" i="2"/>
  <c r="M117" i="2"/>
  <c r="M76" i="2"/>
  <c r="M36" i="2"/>
  <c r="M190" i="2"/>
  <c r="M151" i="2"/>
  <c r="M114" i="2"/>
  <c r="M75" i="2"/>
  <c r="M34" i="2"/>
  <c r="M188" i="2"/>
  <c r="M148" i="2"/>
  <c r="M33" i="2"/>
  <c r="M174" i="2"/>
  <c r="M134" i="2"/>
  <c r="M95" i="2"/>
  <c r="M58" i="2"/>
  <c r="M19" i="2"/>
  <c r="M176" i="2"/>
  <c r="M61" i="2"/>
  <c r="M173" i="2"/>
  <c r="M132" i="2"/>
  <c r="M92" i="2"/>
  <c r="M16" i="2"/>
  <c r="M204" i="2"/>
  <c r="M170" i="2"/>
  <c r="M131" i="2"/>
  <c r="M90" i="2"/>
  <c r="M50" i="2"/>
  <c r="M11" i="2"/>
  <c r="M103" i="2"/>
  <c r="M62" i="2"/>
  <c r="M20" i="2"/>
  <c r="M202" i="2"/>
  <c r="M165" i="2"/>
  <c r="M128" i="2"/>
  <c r="M89" i="2"/>
  <c r="M48" i="2"/>
  <c r="M8" i="2"/>
  <c r="M201" i="2"/>
  <c r="M162" i="2"/>
  <c r="M123" i="2"/>
  <c r="M86" i="2"/>
  <c r="M47" i="2"/>
  <c r="M6" i="2"/>
  <c r="M200" i="2"/>
  <c r="M160" i="2"/>
  <c r="M120" i="2"/>
  <c r="M81" i="2"/>
  <c r="M44" i="2"/>
  <c r="M5" i="2"/>
  <c r="M104" i="2"/>
  <c r="M198" i="2"/>
  <c r="M159" i="2"/>
  <c r="M118" i="2"/>
  <c r="M78" i="2"/>
  <c r="M39" i="2"/>
  <c r="M2" i="2"/>
  <c r="L197" i="2"/>
  <c r="L183" i="2"/>
  <c r="L169" i="2"/>
  <c r="L155" i="2"/>
  <c r="L141" i="2"/>
  <c r="L127" i="2"/>
  <c r="L113" i="2"/>
  <c r="L99" i="2"/>
  <c r="L85" i="2"/>
  <c r="L71" i="2"/>
  <c r="L57" i="2"/>
  <c r="L43" i="2"/>
  <c r="L29" i="2"/>
  <c r="L15" i="2"/>
  <c r="M203" i="2"/>
  <c r="M189" i="2"/>
  <c r="M175" i="2"/>
  <c r="M161" i="2"/>
  <c r="M147" i="2"/>
  <c r="M133" i="2"/>
  <c r="M119" i="2"/>
  <c r="M105" i="2"/>
  <c r="M91" i="2"/>
  <c r="M77" i="2"/>
  <c r="M63" i="2"/>
  <c r="M49" i="2"/>
  <c r="M35" i="2"/>
  <c r="M21" i="2"/>
  <c r="M7" i="2"/>
  <c r="L196" i="2"/>
  <c r="L182" i="2"/>
  <c r="L168" i="2"/>
  <c r="L154" i="2"/>
  <c r="L140" i="2"/>
  <c r="L126" i="2"/>
  <c r="L112" i="2"/>
  <c r="L98" i="2"/>
  <c r="L84" i="2"/>
  <c r="L70" i="2"/>
  <c r="L56" i="2"/>
  <c r="L42" i="2"/>
  <c r="L28" i="2"/>
  <c r="L14" i="2"/>
  <c r="L41" i="2"/>
  <c r="L27" i="2"/>
  <c r="L13" i="2"/>
  <c r="L181" i="2"/>
  <c r="L125" i="2"/>
  <c r="L69" i="2"/>
  <c r="L110" i="2"/>
  <c r="M199" i="2"/>
  <c r="M185" i="2"/>
  <c r="M171" i="2"/>
  <c r="M157" i="2"/>
  <c r="M143" i="2"/>
  <c r="M129" i="2"/>
  <c r="M115" i="2"/>
  <c r="M101" i="2"/>
  <c r="M87" i="2"/>
  <c r="M73" i="2"/>
  <c r="M59" i="2"/>
  <c r="M45" i="2"/>
  <c r="M31" i="2"/>
  <c r="M17" i="2"/>
  <c r="M3" i="2"/>
  <c r="L192" i="2"/>
  <c r="L178" i="2"/>
  <c r="L164" i="2"/>
  <c r="L150" i="2"/>
  <c r="L136" i="2"/>
  <c r="L122" i="2"/>
  <c r="L108" i="2"/>
  <c r="L94" i="2"/>
  <c r="L80" i="2"/>
  <c r="L66" i="2"/>
  <c r="L52" i="2"/>
  <c r="L38" i="2"/>
  <c r="L24" i="2"/>
  <c r="L10" i="2"/>
  <c r="M172" i="2"/>
  <c r="M144" i="2"/>
  <c r="M116" i="2"/>
  <c r="M88" i="2"/>
  <c r="M60" i="2"/>
  <c r="M46" i="2"/>
  <c r="M32" i="2"/>
  <c r="M18" i="2"/>
  <c r="M4" i="2"/>
  <c r="L167" i="2"/>
  <c r="L111" i="2"/>
  <c r="L180" i="2"/>
  <c r="L138" i="2"/>
  <c r="L82" i="2"/>
  <c r="L54" i="2"/>
  <c r="L40" i="2"/>
  <c r="L26" i="2"/>
  <c r="L12" i="2"/>
  <c r="M186" i="2"/>
  <c r="M158" i="2"/>
  <c r="M130" i="2"/>
  <c r="M102" i="2"/>
  <c r="M74" i="2"/>
  <c r="L191" i="2"/>
  <c r="L177" i="2"/>
  <c r="L163" i="2"/>
  <c r="L149" i="2"/>
  <c r="L135" i="2"/>
  <c r="L121" i="2"/>
  <c r="L107" i="2"/>
  <c r="L93" i="2"/>
  <c r="L79" i="2"/>
  <c r="L65" i="2"/>
  <c r="L51" i="2"/>
  <c r="L37" i="2"/>
  <c r="L23" i="2"/>
  <c r="L9" i="2"/>
  <c r="L153" i="2"/>
  <c r="L97" i="2"/>
  <c r="L55" i="2"/>
  <c r="L194" i="2"/>
  <c r="L152" i="2"/>
  <c r="L96" i="2"/>
  <c r="L195" i="2"/>
  <c r="L139" i="2"/>
  <c r="L83" i="2"/>
  <c r="L166" i="2"/>
  <c r="L124" i="2"/>
  <c r="L68" i="2"/>
  <c r="D9" i="7" l="1"/>
  <c r="S22" i="7"/>
  <c r="AI46" i="7"/>
  <c r="AK46" i="7"/>
  <c r="AI47" i="7"/>
  <c r="AK47" i="7"/>
  <c r="AI48" i="7"/>
  <c r="AK48" i="7"/>
  <c r="L24" i="7"/>
  <c r="C11" i="8" l="1"/>
  <c r="G2" i="11" l="1"/>
  <c r="B22" i="7" l="1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" i="7"/>
  <c r="G9" i="7" l="1"/>
  <c r="P27" i="8" l="1"/>
  <c r="Q27" i="8"/>
  <c r="P28" i="8"/>
  <c r="Q28" i="8"/>
  <c r="P29" i="8"/>
  <c r="Q29" i="8"/>
  <c r="O27" i="8"/>
  <c r="O28" i="8"/>
  <c r="O29" i="8"/>
  <c r="N27" i="8"/>
  <c r="N28" i="8"/>
  <c r="N29" i="8"/>
  <c r="M27" i="8"/>
  <c r="M28" i="8"/>
  <c r="M29" i="8"/>
  <c r="L27" i="8"/>
  <c r="L28" i="8"/>
  <c r="L29" i="8"/>
  <c r="C5" i="8" l="1"/>
  <c r="C7" i="8"/>
  <c r="H3" i="8" l="1" a="1"/>
  <c r="H25" i="8" a="1"/>
  <c r="C16" i="7"/>
  <c r="C17" i="7"/>
  <c r="C18" i="7"/>
  <c r="C19" i="7"/>
  <c r="C20" i="7"/>
  <c r="C21" i="7"/>
  <c r="C22" i="7"/>
  <c r="C23" i="7"/>
  <c r="C15" i="7"/>
  <c r="B16" i="7"/>
  <c r="B17" i="7"/>
  <c r="B18" i="7"/>
  <c r="B19" i="7"/>
  <c r="B20" i="7"/>
  <c r="B21" i="7"/>
  <c r="B23" i="7"/>
  <c r="B15" i="7"/>
  <c r="AH2" i="7"/>
  <c r="AH3" i="7" s="1"/>
  <c r="AH4" i="7" s="1"/>
  <c r="AH5" i="7" s="1"/>
  <c r="AH6" i="7" s="1"/>
  <c r="AH7" i="7" s="1"/>
  <c r="AH8" i="7" s="1"/>
  <c r="AH9" i="7" s="1"/>
  <c r="AH10" i="7" s="1"/>
  <c r="AH11" i="7" s="1"/>
  <c r="AH12" i="7" s="1"/>
  <c r="AH13" i="7" s="1"/>
  <c r="AH14" i="7" s="1"/>
  <c r="AH15" i="7" s="1"/>
  <c r="AH16" i="7" s="1"/>
  <c r="AH17" i="7" s="1"/>
  <c r="AH18" i="7" s="1"/>
  <c r="AH19" i="7" s="1"/>
  <c r="AH20" i="7" s="1"/>
  <c r="AH21" i="7" s="1"/>
  <c r="AH22" i="7" s="1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AH47" i="7" s="1"/>
  <c r="AH48" i="7" s="1"/>
  <c r="AI2" i="7"/>
  <c r="AI3" i="7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17" i="7"/>
  <c r="AI18" i="7"/>
  <c r="AI19" i="7"/>
  <c r="AI20" i="7"/>
  <c r="AI21" i="7"/>
  <c r="AI22" i="7"/>
  <c r="AI23" i="7"/>
  <c r="AI24" i="7"/>
  <c r="AI25" i="7"/>
  <c r="AI26" i="7"/>
  <c r="AI27" i="7"/>
  <c r="AI28" i="7"/>
  <c r="AI29" i="7"/>
  <c r="AI30" i="7"/>
  <c r="AI31" i="7"/>
  <c r="AI32" i="7"/>
  <c r="AI33" i="7"/>
  <c r="AI34" i="7"/>
  <c r="AI35" i="7"/>
  <c r="AI36" i="7"/>
  <c r="AI37" i="7"/>
  <c r="AI38" i="7"/>
  <c r="AI39" i="7"/>
  <c r="AI40" i="7"/>
  <c r="AI41" i="7"/>
  <c r="AI42" i="7"/>
  <c r="AI43" i="7"/>
  <c r="AI44" i="7"/>
  <c r="AI45" i="7"/>
  <c r="F3" i="7" l="1"/>
  <c r="F4" i="7" s="1"/>
  <c r="F5" i="7" s="1"/>
  <c r="H25" i="8"/>
  <c r="O26" i="8"/>
  <c r="L26" i="8"/>
  <c r="P26" i="8"/>
  <c r="I26" i="8"/>
  <c r="J26" i="8"/>
  <c r="K26" i="8"/>
  <c r="Q26" i="8"/>
  <c r="N26" i="8"/>
  <c r="M26" i="8"/>
  <c r="G26" i="8"/>
  <c r="H3" i="8"/>
  <c r="J3" i="8"/>
  <c r="H11" i="8" a="1"/>
  <c r="J4" i="8"/>
  <c r="K4" i="8"/>
  <c r="I4" i="8"/>
  <c r="G4" i="8"/>
  <c r="AI49" i="7"/>
  <c r="D3" i="7"/>
  <c r="F6" i="7" l="1"/>
  <c r="F7" i="7" s="1"/>
  <c r="F10" i="7"/>
  <c r="AJ2" i="7"/>
  <c r="AJ3" i="7" s="1"/>
  <c r="AJ4" i="7" s="1"/>
  <c r="AJ5" i="7" s="1"/>
  <c r="AJ6" i="7" s="1"/>
  <c r="AJ7" i="7" s="1"/>
  <c r="AJ8" i="7" s="1"/>
  <c r="AJ9" i="7" s="1"/>
  <c r="AJ10" i="7" s="1"/>
  <c r="AJ11" i="7" s="1"/>
  <c r="AJ12" i="7" s="1"/>
  <c r="AJ13" i="7" s="1"/>
  <c r="AJ14" i="7" s="1"/>
  <c r="AJ15" i="7" s="1"/>
  <c r="AJ16" i="7" s="1"/>
  <c r="AJ17" i="7" s="1"/>
  <c r="AJ18" i="7" s="1"/>
  <c r="AJ19" i="7" s="1"/>
  <c r="AJ20" i="7" s="1"/>
  <c r="AJ21" i="7" s="1"/>
  <c r="AJ22" i="7" s="1"/>
  <c r="AJ23" i="7" s="1"/>
  <c r="AJ24" i="7" s="1"/>
  <c r="AJ25" i="7" s="1"/>
  <c r="AJ26" i="7" s="1"/>
  <c r="AJ27" i="7" s="1"/>
  <c r="AJ28" i="7" s="1"/>
  <c r="AJ29" i="7" s="1"/>
  <c r="AJ30" i="7" s="1"/>
  <c r="AJ31" i="7" s="1"/>
  <c r="AJ32" i="7" s="1"/>
  <c r="AJ33" i="7" s="1"/>
  <c r="AJ34" i="7" s="1"/>
  <c r="AJ35" i="7" s="1"/>
  <c r="AJ36" i="7" s="1"/>
  <c r="AJ37" i="7" s="1"/>
  <c r="AJ38" i="7" s="1"/>
  <c r="AJ39" i="7" s="1"/>
  <c r="AJ40" i="7" s="1"/>
  <c r="AJ41" i="7" s="1"/>
  <c r="AJ42" i="7" s="1"/>
  <c r="AJ43" i="7" s="1"/>
  <c r="AJ44" i="7" s="1"/>
  <c r="AJ45" i="7" s="1"/>
  <c r="AJ46" i="7" s="1"/>
  <c r="AJ47" i="7" s="1"/>
  <c r="AJ48" i="7" s="1"/>
  <c r="H11" i="8"/>
  <c r="K14" i="8"/>
  <c r="I16" i="8"/>
  <c r="K15" i="8"/>
  <c r="G12" i="8"/>
  <c r="J13" i="8"/>
  <c r="G15" i="8"/>
  <c r="J15" i="8"/>
  <c r="K16" i="8"/>
  <c r="G13" i="8"/>
  <c r="J12" i="8"/>
  <c r="G14" i="8"/>
  <c r="I12" i="8"/>
  <c r="K12" i="8"/>
  <c r="I14" i="8"/>
  <c r="J16" i="8"/>
  <c r="I13" i="8"/>
  <c r="K13" i="8"/>
  <c r="I15" i="8"/>
  <c r="J14" i="8"/>
  <c r="G16" i="8"/>
  <c r="G3" i="8"/>
  <c r="I3" i="8"/>
  <c r="G25" i="8"/>
  <c r="N25" i="8"/>
  <c r="L25" i="8"/>
  <c r="I25" i="8"/>
  <c r="P25" i="8"/>
  <c r="Q25" i="8"/>
  <c r="O25" i="8"/>
  <c r="M25" i="8"/>
  <c r="J25" i="8"/>
  <c r="D4" i="7"/>
  <c r="D10" i="7" s="1"/>
  <c r="D5" i="7"/>
  <c r="D6" i="7"/>
  <c r="D7" i="7"/>
  <c r="D8" i="7"/>
  <c r="AK45" i="7"/>
  <c r="AK44" i="7"/>
  <c r="AK43" i="7"/>
  <c r="AK42" i="7"/>
  <c r="AK41" i="7"/>
  <c r="AK40" i="7"/>
  <c r="AK39" i="7"/>
  <c r="AK38" i="7"/>
  <c r="AK37" i="7"/>
  <c r="AK36" i="7"/>
  <c r="AK35" i="7"/>
  <c r="AK34" i="7"/>
  <c r="AK33" i="7"/>
  <c r="AK32" i="7"/>
  <c r="AK31" i="7"/>
  <c r="AK30" i="7"/>
  <c r="AK29" i="7"/>
  <c r="AK28" i="7"/>
  <c r="AK27" i="7"/>
  <c r="AK26" i="7"/>
  <c r="AK25" i="7"/>
  <c r="AK24" i="7"/>
  <c r="AK23" i="7"/>
  <c r="AK22" i="7"/>
  <c r="AK21" i="7"/>
  <c r="AK20" i="7"/>
  <c r="AK19" i="7"/>
  <c r="AK18" i="7"/>
  <c r="AK17" i="7"/>
  <c r="AK16" i="7"/>
  <c r="AK15" i="7"/>
  <c r="AK14" i="7"/>
  <c r="AK13" i="7"/>
  <c r="AK12" i="7"/>
  <c r="AK11" i="7"/>
  <c r="AK10" i="7"/>
  <c r="AK9" i="7"/>
  <c r="AK8" i="7"/>
  <c r="AK7" i="7"/>
  <c r="AK6" i="7"/>
  <c r="AK5" i="7"/>
  <c r="AK4" i="7"/>
  <c r="AK3" i="7"/>
  <c r="AK2" i="7"/>
  <c r="G11" i="8" l="1"/>
  <c r="I11" i="8"/>
  <c r="K11" i="8"/>
  <c r="J11" i="8"/>
  <c r="C24" i="7"/>
  <c r="B24" i="7" l="1"/>
  <c r="C10" i="8" s="1"/>
  <c r="C4" i="8" l="1"/>
  <c r="C6" i="8" l="1"/>
  <c r="C3" i="8"/>
  <c r="C9" i="8" l="1"/>
  <c r="C8" i="8"/>
  <c r="G5" i="7" l="1"/>
  <c r="G6" i="7"/>
  <c r="G7" i="7"/>
  <c r="G8" i="7"/>
  <c r="G3" i="7"/>
  <c r="G4" i="7"/>
  <c r="T2" i="7"/>
  <c r="R2" i="7"/>
  <c r="R3" i="7" s="1"/>
  <c r="R4" i="7" s="1"/>
  <c r="R5" i="7" s="1"/>
  <c r="R6" i="7" s="1"/>
  <c r="R7" i="7" s="1"/>
  <c r="R8" i="7" s="1"/>
  <c r="R9" i="7" s="1"/>
  <c r="R10" i="7" s="1"/>
  <c r="R11" i="7" s="1"/>
  <c r="R12" i="7" s="1"/>
  <c r="G10" i="7" l="1"/>
  <c r="T3" i="7"/>
  <c r="R13" i="7"/>
  <c r="T4" i="7" l="1"/>
  <c r="R14" i="7"/>
  <c r="T5" i="7" l="1"/>
  <c r="E3" i="7"/>
  <c r="H3" i="7"/>
  <c r="R15" i="7"/>
  <c r="R16" i="7" s="1"/>
  <c r="R17" i="7" s="1"/>
  <c r="R18" i="7" s="1"/>
  <c r="R19" i="7" s="1"/>
  <c r="R20" i="7" s="1"/>
  <c r="R21" i="7" s="1"/>
  <c r="R22" i="7" s="1"/>
  <c r="R23" i="7" s="1"/>
  <c r="E4" i="7" l="1"/>
  <c r="T6" i="7"/>
  <c r="T7" i="7" s="1"/>
  <c r="T8" i="7" s="1"/>
  <c r="T9" i="7" s="1"/>
  <c r="J3" i="7"/>
  <c r="T10" i="7" l="1"/>
  <c r="T11" i="7" l="1"/>
  <c r="T12" i="7" s="1"/>
  <c r="T13" i="7" s="1"/>
  <c r="E5" i="7" l="1"/>
  <c r="T14" i="7"/>
  <c r="H5" i="7"/>
  <c r="T15" i="7" l="1"/>
  <c r="E6" i="7" s="1"/>
  <c r="T16" i="7"/>
  <c r="T17" i="7" l="1"/>
  <c r="T18" i="7" l="1"/>
  <c r="T19" i="7" s="1"/>
  <c r="T20" i="7" s="1"/>
  <c r="H6" i="7"/>
  <c r="E7" i="7" l="1"/>
  <c r="T21" i="7"/>
  <c r="J5" i="7"/>
  <c r="T22" i="7" l="1"/>
  <c r="T23" i="7"/>
  <c r="H4" i="7"/>
  <c r="H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97629-4E38-4236-8287-8DD6CC87BC78}" keepAlive="1" name="Query - CallPut" description="Connection to the 'CallPut' query in the workbook." type="5" refreshedVersion="8" background="1" saveData="1">
    <dbPr connection="Provider=Microsoft.Mashup.OleDb.1;Data Source=$Workbook$;Location=CallPut;Extended Properties=&quot;&quot;" command="SELECT * FROM [CallPut]"/>
  </connection>
  <connection id="2" xr16:uid="{EEEBA0BB-516E-4CDA-A025-3C508DC933BB}" keepAlive="1" name="Query - CPTY" description="Connection to the 'CPTY' query in the workbook." type="5" refreshedVersion="8" background="1" saveData="1">
    <dbPr connection="Provider=Microsoft.Mashup.OleDb.1;Data Source=$Workbook$;Location=CPTY;Extended Properties=&quot;&quot;" command="SELECT * FROM [CPTY]"/>
  </connection>
  <connection id="3" xr16:uid="{6D2EFE62-9BC6-4032-9880-25A8C2F6B324}" keepAlive="1" name="Query - CptyRating" description="Connection to the 'CptyRating' query in the workbook." type="5" refreshedVersion="0" background="1">
    <dbPr connection="Provider=Microsoft.Mashup.OleDb.1;Data Source=$Workbook$;Location=CptyRating;Extended Properties=&quot;&quot;" command="SELECT * FROM [CptyRating]"/>
  </connection>
  <connection id="4" xr16:uid="{8EEFCB73-485C-4049-8421-5F5F43662499}" keepAlive="1" name="Query - CtpyRating" description="Connection to the 'CtpyRating' query in the workbook." type="5" refreshedVersion="8" background="1" saveData="1">
    <dbPr connection="Provider=Microsoft.Mashup.OleDb.1;Data Source=$Workbook$;Location=CtpyRating;Extended Properties=&quot;&quot;" command="SELECT * FROM [CtpyRating]"/>
  </connection>
  <connection id="5" xr16:uid="{D6787BA8-4193-43F4-8EC7-13E6248E4231}" keepAlive="1" name="Query - DoiUng" description="Connection to the 'DoiUng' query in the workbook." type="5" refreshedVersion="0" background="1">
    <dbPr connection="Provider=Microsoft.Mashup.OleDb.1;Data Source=$Workbook$;Location=DoiUng;Extended Properties=&quot;&quot;" command="SELECT * FROM [DoiUng]"/>
  </connection>
  <connection id="6" xr16:uid="{E567358A-30F4-4E4F-92CC-033F0D6477FE}" keepAlive="1" name="Query - FNRP_ITB" description="Connection to the 'FNRP_ITB' query in the workbook." type="5" refreshedVersion="8" background="1" saveData="1">
    <dbPr connection="Provider=Microsoft.Mashup.OleDb.1;Data Source=$Workbook$;Location=FNRP_ITB;Extended Properties=&quot;&quot;" command="SELECT * FROM [FNRP_ITB]"/>
  </connection>
  <connection id="7" xr16:uid="{FEF3BC1E-E643-4F2A-8924-D5417323585D}" keepAlive="1" name="Query - His" description="Connection to the 'His' query in the workbook." type="5" refreshedVersion="8" background="1" saveData="1">
    <dbPr connection="Provider=Microsoft.Mashup.OleDb.1;Data Source=$Workbook$;Location=His;Extended Properties=&quot;&quot;" command="SELECT * FROM [His]"/>
  </connection>
  <connection id="8" xr16:uid="{C97AF8D7-5D0D-4F9D-9528-5002CD2BF9BA}" keepAlive="1" name="Query - MFKR_Add" description="Connection to the 'MFKR_Add' query in the workbook." type="5" refreshedVersion="0" background="1">
    <dbPr connection="Provider=Microsoft.Mashup.OleDb.1;Data Source=$Workbook$;Location=MFKR_Add;Extended Properties=&quot;&quot;" command="SELECT * FROM [MFKR_Add]"/>
  </connection>
  <connection id="9" xr16:uid="{CB7B9954-BF76-45A5-ACB1-75BCBD7F2DD0}" keepAlive="1" name="Query - MFKR_RatingRef" description="Connection to the 'MFKR_RatingRef' query in the workbook." type="5" refreshedVersion="0" background="1">
    <dbPr connection="Provider=Microsoft.Mashup.OleDb.1;Data Source=$Workbook$;Location=MFKR_RatingRef;Extended Properties=&quot;&quot;" command="SELECT * FROM [MFKR_RatingRef]"/>
  </connection>
  <connection id="10" xr16:uid="{6C44A01A-8171-4D59-8766-6F9E26342E1A}" keepAlive="1" name="Query - Param" description="Connection to the 'Param' query in the workbook." type="5" refreshedVersion="0" background="1">
    <dbPr connection="Provider=Microsoft.Mashup.OleDb.1;Data Source=$Workbook$;Location=Param;Extended Properties=&quot;&quot;" command="SELECT * FROM [Param]"/>
  </connection>
  <connection id="11" xr16:uid="{293A8550-1BCA-42B7-BAE9-1B1E1C5FD67A}" keepAlive="1" name="Query - Portfolio by bond" description="Connection to the 'Portfolio by bond' query in the workbook." type="5" refreshedVersion="8" background="1" saveData="1">
    <dbPr connection="Provider=Microsoft.Mashup.OleDb.1;Data Source=$Workbook$;Location=&quot;Portfolio by bond&quot;;Extended Properties=&quot;&quot;" command="SELECT * FROM [Portfolio by bond]"/>
  </connection>
  <connection id="12" xr16:uid="{B7709ECB-ED52-42B4-AE02-61E586E45E9E}" keepAlive="1" name="Query - Portfolio by issuer" description="Connection to the 'Portfolio by issuer' query in the workbook." type="5" refreshedVersion="8" background="1" saveData="1">
    <dbPr connection="Provider=Microsoft.Mashup.OleDb.1;Data Source=$Workbook$;Location=&quot;Portfolio by issuer&quot;;Extended Properties=&quot;&quot;" command="SELECT * FROM [Portfolio by issuer]"/>
  </connection>
  <connection id="13" xr16:uid="{C79D8867-4F5B-4335-9DF3-1C598FEC5577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14" xr16:uid="{209E24EC-6802-4BD9-8B8E-A52C14A5CB3C}" keepAlive="1" name="Query - Rating" description="Connection to the 'Rating' query in the workbook." type="5" refreshedVersion="8" background="1" saveData="1">
    <dbPr connection="Provider=Microsoft.Mashup.OleDb.1;Data Source=$Workbook$;Location=Rating;Extended Properties=&quot;&quot;" command="SELECT * FROM [Rating]"/>
  </connection>
  <connection id="15" xr16:uid="{A50F5432-FA85-46E3-AB95-497FFA7FA619}" keepAlive="1" name="Query - Ref" description="Connection to the 'Ref' query in the workbook." type="5" refreshedVersion="0" background="1">
    <dbPr connection="Provider=Microsoft.Mashup.OleDb.1;Data Source=$Workbook$;Location=Ref;Extended Properties=&quot;&quot;" command="SELECT * FROM [Ref]"/>
  </connection>
  <connection id="16" xr16:uid="{2656E6C8-A27A-4C2A-92EA-DAF6A421F75A}" keepAlive="1" name="Query - Tenor" description="Connection to the 'Tenor' query in the workbook." type="5" refreshedVersion="0" background="1">
    <dbPr connection="Provider=Microsoft.Mashup.OleDb.1;Data Source=$Workbook$;Location=Tenor;Extended Properties=&quot;&quot;" command="SELECT * FROM [Teno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<sst xmlns="http://schemas.openxmlformats.org/spreadsheetml/2006/main" count="2466" uniqueCount="634">
  <si>
    <t>STT</t>
  </si>
  <si>
    <t>Values</t>
  </si>
  <si>
    <t>Raw data</t>
  </si>
  <si>
    <t>Indicator</t>
  </si>
  <si>
    <t>RptDate</t>
  </si>
  <si>
    <t>CPTY_NAME</t>
  </si>
  <si>
    <t>CPTY_TYPE</t>
  </si>
  <si>
    <t>FI_RATING</t>
  </si>
  <si>
    <t>FI_RATING_DATE</t>
  </si>
  <si>
    <t>FITCH_RATING</t>
  </si>
  <si>
    <t>FITCH_RATING_DATE</t>
  </si>
  <si>
    <t>MOODY_RATING</t>
  </si>
  <si>
    <t>MOODY_RATING_DATE</t>
  </si>
  <si>
    <t>SP_RATING</t>
  </si>
  <si>
    <t>SP_RATING_DATE</t>
  </si>
  <si>
    <t>Month</t>
  </si>
  <si>
    <t>NGAN HANG PHAT TRIEN VN</t>
  </si>
  <si>
    <t>Local Bank</t>
  </si>
  <si>
    <t>BB</t>
  </si>
  <si>
    <t>NGAN HANG NONG NGHIEP VA PHAT TRIEN NONG THON</t>
  </si>
  <si>
    <t>AAA</t>
  </si>
  <si>
    <t>BB+</t>
  </si>
  <si>
    <t>Ba2</t>
  </si>
  <si>
    <t>NGAN HANG TMCP SAI GON HA NOI</t>
  </si>
  <si>
    <t>BBB</t>
  </si>
  <si>
    <t>B1</t>
  </si>
  <si>
    <t>NGAN HANG TMCP PHUONG DONG</t>
  </si>
  <si>
    <t>Ba3</t>
  </si>
  <si>
    <t>NGAN HANG TMCP SAI GON</t>
  </si>
  <si>
    <t>CC</t>
  </si>
  <si>
    <t>NGAN HANG TMCP QUOC DAN</t>
  </si>
  <si>
    <t>D</t>
  </si>
  <si>
    <t>NGAN HANG TMCP DONG NAM A</t>
  </si>
  <si>
    <t>A</t>
  </si>
  <si>
    <t>NGAN HANG TMCP KIEN LONG</t>
  </si>
  <si>
    <t>NGAN HANG TMCP DAI CHUNG VN</t>
  </si>
  <si>
    <t>NGAN HANG TMCP TIEN PHONG</t>
  </si>
  <si>
    <t>NGAN HANG TMCP NAM A</t>
  </si>
  <si>
    <t>B2</t>
  </si>
  <si>
    <t>NGAN HANG TMCP VIET A</t>
  </si>
  <si>
    <t>B</t>
  </si>
  <si>
    <t>NGAN HANG TMCP BAN VIET</t>
  </si>
  <si>
    <t>B3</t>
  </si>
  <si>
    <t>NGAN HANG TMCP SAI GON CONG THUONG</t>
  </si>
  <si>
    <t>NGAN HANG TMCP BAC A</t>
  </si>
  <si>
    <t>NGAN HANG TMCP BAO VIET</t>
  </si>
  <si>
    <t>NGAN HANG LIEN DOANH VIET NGA</t>
  </si>
  <si>
    <t>NGAN HANG TNHH MTV PUBLIC VN</t>
  </si>
  <si>
    <t>NGAN HANG TNHH MTV CIMB VN</t>
  </si>
  <si>
    <t>NGAN HANG TNHH INDOVINA</t>
  </si>
  <si>
    <t>CONG TY TAI CHINH CO PHAN DIEN LUC</t>
  </si>
  <si>
    <t>CTTC</t>
  </si>
  <si>
    <t>AA</t>
  </si>
  <si>
    <t>NGAN HANG TMCP VIET NAM THUONG TIN</t>
  </si>
  <si>
    <t>NGAN HANG TMCP LOC PHAT VN</t>
  </si>
  <si>
    <t>NGAN HANG TMCP VIET NAM THINH VUONG</t>
  </si>
  <si>
    <t>NGAN HANG TMCP NGOAI THUONG VN</t>
  </si>
  <si>
    <t>NGAN HANG TMCP DAU TU VA PHAT TRIEN VN</t>
  </si>
  <si>
    <t>NGAN HANG TMCP CONG THUONG VN</t>
  </si>
  <si>
    <t>NGAN HANG TMCP QUAN DOI</t>
  </si>
  <si>
    <t>NGAN HANG TMCP KY THUONG VN</t>
  </si>
  <si>
    <t>NGAN HANG TMCP XUAT NHAP KHAU VN</t>
  </si>
  <si>
    <t>B+</t>
  </si>
  <si>
    <t>NGAN HANG TMCP SAI GON THUONG TIN</t>
  </si>
  <si>
    <t>NGAN HANG TMCP A CHAU</t>
  </si>
  <si>
    <t>BB-</t>
  </si>
  <si>
    <t>NGAN HANG TMCP QUOC TE</t>
  </si>
  <si>
    <t>NGAN HANG TMCP PHAT TRIEN TP  HO CHI MINH</t>
  </si>
  <si>
    <t>NGAN HANG TMCP AN BINH</t>
  </si>
  <si>
    <t>CONG TY TAI CHINH CO PHAN TIN VIET</t>
  </si>
  <si>
    <t>TCT CP BAO HIEM BUU DIEN PTI</t>
  </si>
  <si>
    <t>CTBH</t>
  </si>
  <si>
    <t>TCT BAO HIEM PJICO</t>
  </si>
  <si>
    <t>CCC+</t>
  </si>
  <si>
    <t>CONG TY BAO HIEM LIEN HIEP UIC</t>
  </si>
  <si>
    <t>TCT CP BAO HIEM HANG KHONG VNI</t>
  </si>
  <si>
    <t>TCT TAI BAO HIEM QUOC GIA VN</t>
  </si>
  <si>
    <t>CONG TY TNHH  BAO HIEM NHAN THO PREVOIR</t>
  </si>
  <si>
    <t>TONG CONG TY CP BAO MINH</t>
  </si>
  <si>
    <t>TAP DOAN BAO VIET</t>
  </si>
  <si>
    <t>TCT BAO VIET NHAN THO</t>
  </si>
  <si>
    <t>TCT BAO HIEM BAO VIET</t>
  </si>
  <si>
    <t>CONG TY CP PVI</t>
  </si>
  <si>
    <t>CONG TY TNHH BAO HIEM NHAN THO ACE</t>
  </si>
  <si>
    <t>CONG TY TNHH BAO HIEM NHAN THO AIA</t>
  </si>
  <si>
    <t>CONG TY TNHH BAO HIEM NHAN THO CATHAY</t>
  </si>
  <si>
    <t>CONG TY TNHH BAO HIEM NHAN THO DAI-ICHI VN</t>
  </si>
  <si>
    <t>CONG TY TNHH BAO HIEM NHAN THO FUBON</t>
  </si>
  <si>
    <t>CONG TY TNHH BAO HIEM HANWHA LIFE VN</t>
  </si>
  <si>
    <t>CONG TY TNHH MANULIFE VN</t>
  </si>
  <si>
    <t>CONG TY TNHH BAO HIEM NHAN THO SUN LIFE VN</t>
  </si>
  <si>
    <t>CONG TY TNHH BAO HIEM TONG HOP GROUPAMA VN</t>
  </si>
  <si>
    <t>CONG TY TNHH BAO HIEM PHI NHAN THO FUBON VN</t>
  </si>
  <si>
    <t>TCT CP BAO HIEM BAO LONG</t>
  </si>
  <si>
    <t>CONG TY CP BAO HIEM TOAN CAU GIC</t>
  </si>
  <si>
    <t>CONG TY CP BAO HIEM HUNG VUONG</t>
  </si>
  <si>
    <t>CONG TY TNHH BAO HIEM NHAN THO GENERALI VN</t>
  </si>
  <si>
    <t>CONG TY TNHH QLQ EASTSPRING INVESTMENT</t>
  </si>
  <si>
    <t>QLQ</t>
  </si>
  <si>
    <t>CONG TY CP CHUNG KHOAN BAO VIET</t>
  </si>
  <si>
    <t>CTCK</t>
  </si>
  <si>
    <t>CONG TY CP CHUNG KHOAN SSI</t>
  </si>
  <si>
    <t>CONG TY CP CHUNG KHOAN AGRIBANK</t>
  </si>
  <si>
    <t>CONG TY TNHH CHUNG KHOAN NGAN HANG TMCP NGOAI THUONG VN</t>
  </si>
  <si>
    <t>CONG TY CP CHUNG KHOAN BIDV</t>
  </si>
  <si>
    <t>CONG TY CP CHUNG KHOAN NGAN HANG CONG THUONG VN</t>
  </si>
  <si>
    <t>CONG TY CP CHUNG KHOAN VNDIRECT</t>
  </si>
  <si>
    <t>CONG TY CP CHUNG KHOAN KB VN</t>
  </si>
  <si>
    <t>CONG TY TNHH CHUNG KHOAN ACB</t>
  </si>
  <si>
    <t>CONG TY CP CHUNG KHOAN VIETCAP</t>
  </si>
  <si>
    <t>CONG TY CP CHUNG KHOAN NHAT BAN</t>
  </si>
  <si>
    <t>CONG TY CP CHUNG KHOAN PHUONG NAM</t>
  </si>
  <si>
    <t>CONG TY TNHH QLQ DAI-ICHI LIFE VN</t>
  </si>
  <si>
    <t>CONG TY TNHH QLQ MANULIFE VN</t>
  </si>
  <si>
    <t>CONG TY CP QLQ PVI</t>
  </si>
  <si>
    <t>B-</t>
  </si>
  <si>
    <t>CONG TY TNHH QLQ BAO VIET</t>
  </si>
  <si>
    <t>CONG TY CP QLQ DAU TU MB</t>
  </si>
  <si>
    <t>CONG TY CP QLQ TIN PHAT</t>
  </si>
  <si>
    <t>CONG TY TNHH QLQ SSI</t>
  </si>
  <si>
    <t>CONG TY QLQ DRAGON CAPITAL</t>
  </si>
  <si>
    <t>CONG TY TNHH MTV QLQ NH TMCP CONG THUONG VN</t>
  </si>
  <si>
    <t>CONG TY QLQ VINACAPITAL</t>
  </si>
  <si>
    <t>CONG TY CP QLQ DAU TU VN (VFM)</t>
  </si>
  <si>
    <t>CONG TY CP QLQ VINAWEALTH</t>
  </si>
  <si>
    <t>NGAN HANG TNHH MTV HSBC VN</t>
  </si>
  <si>
    <t>AA-</t>
  </si>
  <si>
    <t>NGAN HANG TNHH MTV STANDARD CHARTERED VN</t>
  </si>
  <si>
    <t>NGAN HANG TNHH MTV ANZ VN</t>
  </si>
  <si>
    <t>NGAN HANG TNHH MTV WOORI VIET NAM</t>
  </si>
  <si>
    <t>NGAN HANG TNHH MTV SHINHAN VN</t>
  </si>
  <si>
    <t>NGAN HANG TNHH MTV UNITED OVERSEAS BANK VN</t>
  </si>
  <si>
    <t>NGAN HANG TNHH MTV HONG LEONG VN</t>
  </si>
  <si>
    <t>THE BANK OF NEW YORK MELLON</t>
  </si>
  <si>
    <t>NHNN</t>
  </si>
  <si>
    <t>Aa1</t>
  </si>
  <si>
    <t>ESUN COMMERCIAL BANK</t>
  </si>
  <si>
    <t>A2</t>
  </si>
  <si>
    <t>BNP PARIBAS SA</t>
  </si>
  <si>
    <t>A+</t>
  </si>
  <si>
    <t>Aa3</t>
  </si>
  <si>
    <t>CTBC BANK</t>
  </si>
  <si>
    <t>A1</t>
  </si>
  <si>
    <t>CHINA CONSTRUCTION BANK CORPORATION</t>
  </si>
  <si>
    <t>CITI BANK NA</t>
  </si>
  <si>
    <t>COMMONWEALTH BANK OF AUSTRALIA</t>
  </si>
  <si>
    <t>Aa2</t>
  </si>
  <si>
    <t>DEVELOPMENT BANK OF SINGAPORE</t>
  </si>
  <si>
    <t>DEUTSCHE BANK AG</t>
  </si>
  <si>
    <t>A-</t>
  </si>
  <si>
    <t>HSBC BANK</t>
  </si>
  <si>
    <t>INDUSTRIAL AND COMMERCIAL BANK OF CHINA</t>
  </si>
  <si>
    <t>INDUSTRIAL BANK OF KOREA</t>
  </si>
  <si>
    <t>JP MORGAN CHASE BANK N.A</t>
  </si>
  <si>
    <t>KOOKMIN BANK</t>
  </si>
  <si>
    <t>MIZUHO BANK</t>
  </si>
  <si>
    <t>AUSTRALIA AND NEW ZEALAND BANKING GROUP LIMITED</t>
  </si>
  <si>
    <t>BANK OF NOVA SCOTIA</t>
  </si>
  <si>
    <t>STANDARD CHARTERED  BANK</t>
  </si>
  <si>
    <t>SUMITOMO MITSUI BANKING CORPORATION</t>
  </si>
  <si>
    <t>WELLS FARGO NA</t>
  </si>
  <si>
    <t>UNITED OVERSEA BANK LIMITED</t>
  </si>
  <si>
    <t>MALAYAN BANKING BERHAD</t>
  </si>
  <si>
    <t>A3</t>
  </si>
  <si>
    <t>TAIPEI  FUBON COMMERCIAL BANK</t>
  </si>
  <si>
    <t>WOORI BANK</t>
  </si>
  <si>
    <t>KEB HANA BANK</t>
  </si>
  <si>
    <t>HUA NAN BANK</t>
  </si>
  <si>
    <t>COMMERZ BANK AG</t>
  </si>
  <si>
    <t>FIRST COMMERCIAL BANK</t>
  </si>
  <si>
    <t>NGAN HANG DAU TU VA PHAT TRIEN CAMPUCHIA</t>
  </si>
  <si>
    <t>CCC</t>
  </si>
  <si>
    <t>NGAN HANG TNHH CONG THUONG VIET NAM TAI LAO</t>
  </si>
  <si>
    <t>NGAN HANG NGOAI THUONG LAO</t>
  </si>
  <si>
    <t>BANGKOK BANK PUBLIC COMPANY LIMITED</t>
  </si>
  <si>
    <t>Baa1</t>
  </si>
  <si>
    <t>BBB+</t>
  </si>
  <si>
    <t>HONG LEONG BANK BERHAD</t>
  </si>
  <si>
    <t>RAIFFEISEN BANK INTERNATIONAL</t>
  </si>
  <si>
    <t>MONEYCORP BANK LIMITED</t>
  </si>
  <si>
    <t>TCT BAO HIEM PVI</t>
  </si>
  <si>
    <t>TCT CP TAI BAO HIEM PVI</t>
  </si>
  <si>
    <t>NGAN HANG TMCP DONG A</t>
  </si>
  <si>
    <t>CONG TY TAI CHINH TNHH NGAN HANG VIET NAM THINH VUONG SMBC</t>
  </si>
  <si>
    <t>CONG TY TAI CHINH TNHH MTV HOME CREDIT VN</t>
  </si>
  <si>
    <t>CONG TY TAI CHINH TNHH HD SAI SON</t>
  </si>
  <si>
    <t>CONG TY CP CHUNG KHOAN TP HO CHI MINH</t>
  </si>
  <si>
    <t>NGAN HANG TMCP THINH VUONG VA PHAT TRIEN</t>
  </si>
  <si>
    <t>CONG TY CP CHUNG KHOAN VPS</t>
  </si>
  <si>
    <t>CONG TY CP CHUNG KHOAN FPT</t>
  </si>
  <si>
    <t>PHONGSAVANH BANK LIMITED</t>
  </si>
  <si>
    <t>BANK OF AMERICA NA</t>
  </si>
  <si>
    <t>BANK OF CHINA</t>
  </si>
  <si>
    <t>BUSAN BANK</t>
  </si>
  <si>
    <t>CONG TY TAI CHINH TNHH MB SHINSEI</t>
  </si>
  <si>
    <t>CIMB BANK BERHAD</t>
  </si>
  <si>
    <t>AGRICULTURE BANK OF CHINA LIMITED</t>
  </si>
  <si>
    <t>THE GOVERNOR AND COMPANY OF THE BANK OF IRELAND</t>
  </si>
  <si>
    <t>KBC BANK</t>
  </si>
  <si>
    <t>BANK SINOPAC COMPANY LIMITED</t>
  </si>
  <si>
    <t>CONG TY TAI CHINH TNHH MTV QUOC TE CHAILEASE</t>
  </si>
  <si>
    <t>SAXO BANK A/S</t>
  </si>
  <si>
    <t>MALDIVES MONETARY AUTHORITY</t>
  </si>
  <si>
    <t>NONGHYUP BANK</t>
  </si>
  <si>
    <t>ZUERCHER KANTONAL BANK</t>
  </si>
  <si>
    <t>CONG TY TAI CHINH TNHH MTV LOTTE VN</t>
  </si>
  <si>
    <t>CONG TY TAI CHINH TNHH MTV NGAN HANG TMCP SAI GON HA NOI</t>
  </si>
  <si>
    <t>CONG TY CP BAO HIEM VIEN DONG</t>
  </si>
  <si>
    <t>NGAN HANG THUONG MAI TNHH MTV DAI DUONG</t>
  </si>
  <si>
    <t>NGAN HANG THUONG MAI TNHH MTV XAY DUNG VN</t>
  </si>
  <si>
    <t>MASHREQ BANK PSC</t>
  </si>
  <si>
    <t>CONG TY CP CHUNG KHOAN KY THUONG</t>
  </si>
  <si>
    <t>CONG TY CO PHAN CHUNG KHOAN MB</t>
  </si>
  <si>
    <t>CONG TY CP CHUNG KHOAN PINETREE</t>
  </si>
  <si>
    <t>CTY CP CHUNG KHOAN THIEN VIET</t>
  </si>
  <si>
    <t>CONG TY TNHH CHUNG KHOAN MIRAE ASSET</t>
  </si>
  <si>
    <t>BANK OF THE LAO PDR</t>
  </si>
  <si>
    <t>CONG TY CP QLQ THIEN VIET</t>
  </si>
  <si>
    <t>CONG TY CP CHUNG KHOAN HDB</t>
  </si>
  <si>
    <t>KASIKORNBANK PUBLIC COMPANY LIMITED</t>
  </si>
  <si>
    <t>GUANGXI BEIBU GULF BANK CO., LTD</t>
  </si>
  <si>
    <t>INTERNATIONAL INVESTMENT BANK</t>
  </si>
  <si>
    <t>BANCO BPM S.P.A</t>
  </si>
  <si>
    <t>BBB-</t>
  </si>
  <si>
    <t>Ba1</t>
  </si>
  <si>
    <t>CONG TY TNHH CHUNG KHOAN YUANTA VIET NAM</t>
  </si>
  <si>
    <t>CONG TY CP CHUNG KHOAN AN BINH</t>
  </si>
  <si>
    <t>NGAN HANG CATHAY UNITED BANK CO.LTD</t>
  </si>
  <si>
    <t>CONG TY TAI CHINH TNHH MTV TNEX</t>
  </si>
  <si>
    <t>THE SIAM COMMERCIAL BANK PUBLIC COMPANY LIMITED</t>
  </si>
  <si>
    <t>CONG TY TNHH CHUNG KHOAN NH VIET NAM</t>
  </si>
  <si>
    <t>CONG TY CP CHUNG KHOAN KAFI</t>
  </si>
  <si>
    <t>CONG TY TNHH CHUNG KHOAN MAYBANK</t>
  </si>
  <si>
    <t>CONG TY CP CHUNG KHOAN  DAU KHI</t>
  </si>
  <si>
    <t>CONG TY CP CHUNG KHOAN  PHU HUNG</t>
  </si>
  <si>
    <t>CONG TY CP CHUNG KHOAN  DNSE</t>
  </si>
  <si>
    <t>CONG TY CP CHUNG KHOAN  DSC</t>
  </si>
  <si>
    <t>CONG TY CP CHUNG KHOAN  VIX</t>
  </si>
  <si>
    <t>MUFG BANK, LTD</t>
  </si>
  <si>
    <t>CONG TY CP CHUNG KHOAN  SMARTINVEST</t>
  </si>
  <si>
    <t>BANK OF CHINA (HONG KONG) LIMITED</t>
  </si>
  <si>
    <t>CONG TY CHO THUE TAI CHINH TNHH BIDV - SUMI TRUST</t>
  </si>
  <si>
    <t>CONG TY CP TAP DOAN BAO HIEM DBV</t>
  </si>
  <si>
    <t>CONG TY CHO THUE TAI CHINH TNHH MTV NH TMCP CONG THUONG VN</t>
  </si>
  <si>
    <t>NGAN HANG TNHH MTV VIET NAM HIEN DAI</t>
  </si>
  <si>
    <t>CONG TY CP CHUNG KHOAN  KIS VIET NAM</t>
  </si>
  <si>
    <t>CONG TY CP CHUNG KHOAN  NHAT VIET</t>
  </si>
  <si>
    <t>TONG CONG TY CP TAI BAO HIEM HA NOI</t>
  </si>
  <si>
    <t/>
  </si>
  <si>
    <t>CPTY_CODE_ISSUER</t>
  </si>
  <si>
    <t>CPTY_CODE_ISSUER_Name</t>
  </si>
  <si>
    <t>VDB</t>
  </si>
  <si>
    <t>VBAH</t>
  </si>
  <si>
    <t>SHBV</t>
  </si>
  <si>
    <t>OCBV</t>
  </si>
  <si>
    <t>SCBV</t>
  </si>
  <si>
    <t>NCBV</t>
  </si>
  <si>
    <t>SEAV</t>
  </si>
  <si>
    <t>KIENLONG</t>
  </si>
  <si>
    <t>PVFC</t>
  </si>
  <si>
    <t>TPBH</t>
  </si>
  <si>
    <t>SABH</t>
  </si>
  <si>
    <t>VABV</t>
  </si>
  <si>
    <t>VCCB</t>
  </si>
  <si>
    <t>SGCT</t>
  </si>
  <si>
    <t>NABV</t>
  </si>
  <si>
    <t>BVBH</t>
  </si>
  <si>
    <t>VRB</t>
  </si>
  <si>
    <t>PBVN</t>
  </si>
  <si>
    <t>CIMB-VN</t>
  </si>
  <si>
    <t>IVB</t>
  </si>
  <si>
    <t>TC_DIENLUC</t>
  </si>
  <si>
    <t>VIETBANK</t>
  </si>
  <si>
    <t>LVBT</t>
  </si>
  <si>
    <t>VPVN</t>
  </si>
  <si>
    <t>VCBH</t>
  </si>
  <si>
    <t>BIDV</t>
  </si>
  <si>
    <t>ICBV</t>
  </si>
  <si>
    <t>MCSB</t>
  </si>
  <si>
    <t>TCBV-HO</t>
  </si>
  <si>
    <t>EIBV</t>
  </si>
  <si>
    <t>SGTT</t>
  </si>
  <si>
    <t>ACBV</t>
  </si>
  <si>
    <t>VIBH</t>
  </si>
  <si>
    <t>HDBV</t>
  </si>
  <si>
    <t>ABBV</t>
  </si>
  <si>
    <t>CFCV</t>
  </si>
  <si>
    <t>BH_BUUDIEN</t>
  </si>
  <si>
    <t>BH_PJICO</t>
  </si>
  <si>
    <t>BH_LIENHIE</t>
  </si>
  <si>
    <t>HANGKHONG_VNI</t>
  </si>
  <si>
    <t>VINARE</t>
  </si>
  <si>
    <t>PREVOIR</t>
  </si>
  <si>
    <t>TCT_CPBM</t>
  </si>
  <si>
    <t>TD_BAOVIET</t>
  </si>
  <si>
    <t>BAOVIETLIF</t>
  </si>
  <si>
    <t>BH_BAOVIET</t>
  </si>
  <si>
    <t>PVI</t>
  </si>
  <si>
    <t>BH_ACE</t>
  </si>
  <si>
    <t>BH_AIA</t>
  </si>
  <si>
    <t>BH_CATHAY</t>
  </si>
  <si>
    <t>BH_DAICHI</t>
  </si>
  <si>
    <t>BH_FUBON</t>
  </si>
  <si>
    <t>BH_HANWHA</t>
  </si>
  <si>
    <t>BH_MANUL</t>
  </si>
  <si>
    <t>SUNLIFE</t>
  </si>
  <si>
    <t>GROUPAMA</t>
  </si>
  <si>
    <t>FUBON</t>
  </si>
  <si>
    <t>BAOLONG</t>
  </si>
  <si>
    <t>GIC</t>
  </si>
  <si>
    <t>CP_BHHV</t>
  </si>
  <si>
    <t>GENERALI</t>
  </si>
  <si>
    <t>QLQ_EAST</t>
  </si>
  <si>
    <t>BVS</t>
  </si>
  <si>
    <t>SSI</t>
  </si>
  <si>
    <t>AGRISECO</t>
  </si>
  <si>
    <t>VCBS</t>
  </si>
  <si>
    <t>BSI</t>
  </si>
  <si>
    <t>CTS</t>
  </si>
  <si>
    <t>VNDIRECT</t>
  </si>
  <si>
    <t>KBS</t>
  </si>
  <si>
    <t>ACBS</t>
  </si>
  <si>
    <t>VIETCAP</t>
  </si>
  <si>
    <t>JSI</t>
  </si>
  <si>
    <t>FNS</t>
  </si>
  <si>
    <t>QLQ_DAICHI</t>
  </si>
  <si>
    <t>QLQ_MANUL</t>
  </si>
  <si>
    <t>PVICAP</t>
  </si>
  <si>
    <t>BAOVIETCAP</t>
  </si>
  <si>
    <t>MBCAP</t>
  </si>
  <si>
    <t>QLQ_TINPHA</t>
  </si>
  <si>
    <t>QLQ_SSI</t>
  </si>
  <si>
    <t>DRAGONCAP</t>
  </si>
  <si>
    <t>VTBC</t>
  </si>
  <si>
    <t>QLQ_VNCAP</t>
  </si>
  <si>
    <t>QLQ_VFM</t>
  </si>
  <si>
    <t>QLQ_VINAWE</t>
  </si>
  <si>
    <t>HSHC-VN</t>
  </si>
  <si>
    <t>SCHN-VN</t>
  </si>
  <si>
    <t>ANZF-VN</t>
  </si>
  <si>
    <t>HVHB-VN</t>
  </si>
  <si>
    <t>SHHC</t>
  </si>
  <si>
    <t>UOB_SING</t>
  </si>
  <si>
    <t>HLBV-VN</t>
  </si>
  <si>
    <t>BNYM</t>
  </si>
  <si>
    <t>ESUN</t>
  </si>
  <si>
    <t>BPHM-SA</t>
  </si>
  <si>
    <t>CTBC-HCM</t>
  </si>
  <si>
    <t>CCB</t>
  </si>
  <si>
    <t>CITIBANK</t>
  </si>
  <si>
    <t>CBA</t>
  </si>
  <si>
    <t>DBS</t>
  </si>
  <si>
    <t>DBHC</t>
  </si>
  <si>
    <t>ICBC</t>
  </si>
  <si>
    <t>IBK</t>
  </si>
  <si>
    <t>JPMORGAN</t>
  </si>
  <si>
    <t>KBHQ</t>
  </si>
  <si>
    <t>MHCV</t>
  </si>
  <si>
    <t>SYTA</t>
  </si>
  <si>
    <t>SCOTIABANK</t>
  </si>
  <si>
    <t>SCHN-LD</t>
  </si>
  <si>
    <t>SMHN</t>
  </si>
  <si>
    <t>WAHK-LDON</t>
  </si>
  <si>
    <t>MAYBANK</t>
  </si>
  <si>
    <t>FTVN</t>
  </si>
  <si>
    <t>TAIPEI FUBON COMMERCIAL BANK</t>
  </si>
  <si>
    <t>HANA-HCM</t>
  </si>
  <si>
    <t>HUANAN</t>
  </si>
  <si>
    <t>DRBS</t>
  </si>
  <si>
    <t>FCBV-HN</t>
  </si>
  <si>
    <t>BIDC</t>
  </si>
  <si>
    <t>ICBV-LAO</t>
  </si>
  <si>
    <t>BCEL</t>
  </si>
  <si>
    <t>BANGKK-HCM</t>
  </si>
  <si>
    <t>RBI</t>
  </si>
  <si>
    <t>MONEYCORP</t>
  </si>
  <si>
    <t>TBH_PVI</t>
  </si>
  <si>
    <t>DONGA</t>
  </si>
  <si>
    <t>TC_VPBANK</t>
  </si>
  <si>
    <t>HCVN</t>
  </si>
  <si>
    <t>HDSAISON</t>
  </si>
  <si>
    <t>HSC</t>
  </si>
  <si>
    <t>PGBV-HO</t>
  </si>
  <si>
    <t>VPS</t>
  </si>
  <si>
    <t>FPTS</t>
  </si>
  <si>
    <t>PHONGSAVANH</t>
  </si>
  <si>
    <t>AMEREXP</t>
  </si>
  <si>
    <t>BOC-HCM</t>
  </si>
  <si>
    <t>BUSAN-HCM</t>
  </si>
  <si>
    <t>TC_SHINSEI</t>
  </si>
  <si>
    <t>CIMB</t>
  </si>
  <si>
    <t>ABC</t>
  </si>
  <si>
    <t>IRELANDBANK</t>
  </si>
  <si>
    <t>KBC</t>
  </si>
  <si>
    <t>SINOPAC-HO</t>
  </si>
  <si>
    <t>TC_CHAILEA</t>
  </si>
  <si>
    <t>SAXOBANK</t>
  </si>
  <si>
    <t>MMA</t>
  </si>
  <si>
    <t>NONGHYUP</t>
  </si>
  <si>
    <t>ZKB</t>
  </si>
  <si>
    <t>LOTTEFC</t>
  </si>
  <si>
    <t>SHBF</t>
  </si>
  <si>
    <t>BH_VIENDONG</t>
  </si>
  <si>
    <t>OJBV</t>
  </si>
  <si>
    <t>GTBV</t>
  </si>
  <si>
    <t>MASHREQ-DB</t>
  </si>
  <si>
    <t>TCBS</t>
  </si>
  <si>
    <t>MBS</t>
  </si>
  <si>
    <t>PINETREE</t>
  </si>
  <si>
    <t>TVS</t>
  </si>
  <si>
    <t>MIRAE_ASSET</t>
  </si>
  <si>
    <t>BOL</t>
  </si>
  <si>
    <t>QLQ_THIENVIET</t>
  </si>
  <si>
    <t>HDBS</t>
  </si>
  <si>
    <t>KASIKORNBANK</t>
  </si>
  <si>
    <t>GUANGXI</t>
  </si>
  <si>
    <t>IIB</t>
  </si>
  <si>
    <t>BANCOBPM</t>
  </si>
  <si>
    <t>YSVN</t>
  </si>
  <si>
    <t>ABS</t>
  </si>
  <si>
    <t>CATHAY</t>
  </si>
  <si>
    <t>TNEX</t>
  </si>
  <si>
    <t>SIAMBANK</t>
  </si>
  <si>
    <t>NHSV</t>
  </si>
  <si>
    <t>KAFI</t>
  </si>
  <si>
    <t>MBKE</t>
  </si>
  <si>
    <t>PSI</t>
  </si>
  <si>
    <t>PHS</t>
  </si>
  <si>
    <t>DNSE</t>
  </si>
  <si>
    <t>DSC</t>
  </si>
  <si>
    <t>VIX</t>
  </si>
  <si>
    <t>MUFG</t>
  </si>
  <si>
    <t>CK_SISI</t>
  </si>
  <si>
    <t>BANK OF CHINA (HK)</t>
  </si>
  <si>
    <t>BSL</t>
  </si>
  <si>
    <t>KIS-VN</t>
  </si>
  <si>
    <t>VFS</t>
  </si>
  <si>
    <t>TCT_TBHPVI</t>
  </si>
  <si>
    <t xml:space="preserve"> </t>
  </si>
  <si>
    <t>Year</t>
  </si>
  <si>
    <t>Total</t>
  </si>
  <si>
    <t>Internal Rating</t>
  </si>
  <si>
    <t>Haircut in Normal</t>
  </si>
  <si>
    <t>Rating</t>
  </si>
  <si>
    <t>New Rating FI</t>
  </si>
  <si>
    <t>Last Rating</t>
  </si>
  <si>
    <t>New Date Rating</t>
  </si>
  <si>
    <t>Last Date Rating</t>
  </si>
  <si>
    <t>Issuer name</t>
  </si>
  <si>
    <t>Issuer code</t>
  </si>
  <si>
    <t>1. Thay đổi rating</t>
  </si>
  <si>
    <t>FI Rating</t>
  </si>
  <si>
    <t>Ngày xếp hạng</t>
  </si>
  <si>
    <t>Tổ chức xếp hạng</t>
  </si>
  <si>
    <t>Fitch</t>
  </si>
  <si>
    <t>Moody's</t>
  </si>
  <si>
    <t>S&amp;P</t>
  </si>
  <si>
    <t>Loại hình DN</t>
  </si>
  <si>
    <t>CptyCode</t>
  </si>
  <si>
    <t>FiRating</t>
  </si>
  <si>
    <t>FiRatingDate</t>
  </si>
  <si>
    <t>CptyName</t>
  </si>
  <si>
    <t>Rating FI</t>
  </si>
  <si>
    <t>2. Thay đổi ngày review, giữ nguyên rating (chủ yếu do đến tần suất review định kỳ 1 lần/năm)</t>
  </si>
  <si>
    <t>Grand Total</t>
  </si>
  <si>
    <t>His</t>
  </si>
  <si>
    <t>Haircut in Stress</t>
  </si>
  <si>
    <t>Tỷ lệ lũy kế</t>
  </si>
  <si>
    <t>Bond Oustanding</t>
  </si>
  <si>
    <t>Sau khi điều chỉnh rating</t>
  </si>
  <si>
    <t>Trước khi điều chỉnh rating</t>
  </si>
  <si>
    <t>Backup</t>
  </si>
  <si>
    <t>TRUNG TAM THONG TIN Y TE QUOC GIA</t>
  </si>
  <si>
    <t>NGAN HANG TNHH MTV SO VIKKI</t>
  </si>
  <si>
    <t>RPBOD3</t>
  </si>
  <si>
    <t>Issuer</t>
  </si>
  <si>
    <t>Total Amount</t>
  </si>
  <si>
    <t>Review Date</t>
  </si>
  <si>
    <t>Fitch Rating</t>
  </si>
  <si>
    <t>Moody Rating</t>
  </si>
  <si>
    <t>S&amp;P Rating</t>
  </si>
  <si>
    <t>Last rating</t>
  </si>
  <si>
    <t>Tỷ lệ last rate</t>
  </si>
  <si>
    <t>Tỷ lệ this rate</t>
  </si>
  <si>
    <t>LHK</t>
  </si>
  <si>
    <t>Tỷ lệ
lũy kế</t>
  </si>
  <si>
    <t>3. Issuer mới được xếp hạng hoặc bị xóa xếp hạng</t>
  </si>
  <si>
    <t>Tháng</t>
  </si>
  <si>
    <t>Năm</t>
  </si>
  <si>
    <t>CONG TY CP CHUNG KHOAN  STANLEY BROTHERS</t>
  </si>
  <si>
    <t>CONG TY CP CHUNG KHOAN  HAI PHONG</t>
  </si>
  <si>
    <t>CONG TY CP CHUNG KHOAN  VPBANK</t>
  </si>
  <si>
    <t>VPBS</t>
  </si>
  <si>
    <t>CTL</t>
  </si>
  <si>
    <t>CONG TY TNHH MTV CHO THUE TAI CHINH NH A CHAU</t>
  </si>
  <si>
    <t>C</t>
  </si>
  <si>
    <t>Tool FIBond</t>
  </si>
  <si>
    <t>Bonds_ShortName</t>
  </si>
  <si>
    <t>OCBCD241126</t>
  </si>
  <si>
    <t>Tenor</t>
  </si>
  <si>
    <t>Tenor chuẩn</t>
  </si>
  <si>
    <t>Chặn dưới</t>
  </si>
  <si>
    <t>Chặn trên</t>
  </si>
  <si>
    <t>&lt;1M</t>
  </si>
  <si>
    <t>1-3M</t>
  </si>
  <si>
    <t>3-6M</t>
  </si>
  <si>
    <t>6M-1Y</t>
  </si>
  <si>
    <t>2-3Y</t>
  </si>
  <si>
    <t>1-2Y</t>
  </si>
  <si>
    <t>3-5Y</t>
  </si>
  <si>
    <t>5-7Y</t>
  </si>
  <si>
    <t>&gt;7Y</t>
  </si>
  <si>
    <t>Outstandings
By issuers</t>
  </si>
  <si>
    <t>Outstandings
By bond</t>
  </si>
  <si>
    <t>Amount</t>
  </si>
  <si>
    <t>Row Labels</t>
  </si>
  <si>
    <t>Sum of Total Amount</t>
  </si>
  <si>
    <t>Tenor (ca/pu)</t>
  </si>
  <si>
    <t>Amount 
(c/p)</t>
  </si>
  <si>
    <t>Tạo file và các bảng query</t>
  </si>
  <si>
    <t>Thêm tenor, tenor ảnh hưởng call put</t>
  </si>
  <si>
    <t>Tạo code VBA và bảng lưu trữ rating lên 53</t>
  </si>
  <si>
    <t>PIC</t>
  </si>
  <si>
    <t>Log</t>
  </si>
  <si>
    <t>Ngày</t>
  </si>
  <si>
    <t>thaottp14</t>
  </si>
  <si>
    <t>Sửa query, sửa bảng tham chiếu do thay đổi folder</t>
  </si>
  <si>
    <t>Check</t>
  </si>
  <si>
    <t>Đối ứng</t>
  </si>
  <si>
    <t> FaceAmount </t>
  </si>
  <si>
    <t>Issuer_Name</t>
  </si>
  <si>
    <t>Bond_Code</t>
  </si>
  <si>
    <t>Tenor (c/p)</t>
  </si>
  <si>
    <t>HCVCD231026</t>
  </si>
  <si>
    <t>HCV12502</t>
  </si>
  <si>
    <t>HCVCD260826</t>
  </si>
  <si>
    <t>HCVNCD190427</t>
  </si>
  <si>
    <t>HCVCD180926</t>
  </si>
  <si>
    <t>VBA12503</t>
  </si>
  <si>
    <t>LPB12407</t>
  </si>
  <si>
    <t>LPBCD210826</t>
  </si>
  <si>
    <t>MBBOND2027</t>
  </si>
  <si>
    <t>STBCD061126</t>
  </si>
  <si>
    <t>STB1Y230926</t>
  </si>
  <si>
    <t>TCB12603</t>
  </si>
  <si>
    <t>EVNFC160427</t>
  </si>
  <si>
    <t>EVNFC260427</t>
  </si>
  <si>
    <t>HDB125011</t>
  </si>
  <si>
    <t>HDB12M261126</t>
  </si>
  <si>
    <t>SEACD040826</t>
  </si>
  <si>
    <t>EIBCD240926</t>
  </si>
  <si>
    <t>BAB12601</t>
  </si>
  <si>
    <t>BAB12603</t>
  </si>
  <si>
    <t>SHB12503</t>
  </si>
  <si>
    <t>OCBCD281026</t>
  </si>
  <si>
    <t>OCB12515</t>
  </si>
  <si>
    <t>MCCD240327</t>
  </si>
  <si>
    <t>MSF12404</t>
  </si>
  <si>
    <t>VBB1Y301126</t>
  </si>
  <si>
    <t>VBB1Y090926</t>
  </si>
  <si>
    <t>VBB1Y061026</t>
  </si>
  <si>
    <t>VCCB1Y301026</t>
  </si>
  <si>
    <t>Amount adj đối ứng</t>
  </si>
  <si>
    <t>Tỷ lệ lũy kế adj đối ứng</t>
  </si>
  <si>
    <t>Thêm đối ứng, và tính lại tỷ lệ cho deal đối ứng</t>
  </si>
  <si>
    <t>NGAN HANG TMCP SAI GON TAI LOC</t>
  </si>
  <si>
    <t>HCV12602</t>
  </si>
  <si>
    <t>MBBCD040227</t>
  </si>
  <si>
    <t>ACBCD090427</t>
  </si>
  <si>
    <t>HDB1CD031126</t>
  </si>
  <si>
    <t>EVNFC010227</t>
  </si>
  <si>
    <t>EVNFC170527</t>
  </si>
  <si>
    <t>NABCD041226</t>
  </si>
  <si>
    <t>NABCD200527</t>
  </si>
  <si>
    <t>SEACD050826</t>
  </si>
  <si>
    <t>VPBCD080427</t>
  </si>
  <si>
    <t>ABB12M300926</t>
  </si>
  <si>
    <t>EIBCD291026</t>
  </si>
  <si>
    <t>VBB1Y130527</t>
  </si>
  <si>
    <t>MBB1CD200826</t>
  </si>
  <si>
    <t>PCB12601</t>
  </si>
  <si>
    <t>KOMPANION BANK CLOSED JOINT STOCK COMPANY</t>
  </si>
  <si>
    <t>QUOC GIA KYRGYZ REPUBLIC</t>
  </si>
  <si>
    <t>QG</t>
  </si>
  <si>
    <t>Change Rating</t>
  </si>
  <si>
    <t>Chang rv date</t>
  </si>
  <si>
    <t>New Rating</t>
  </si>
  <si>
    <t>MFKR</t>
  </si>
  <si>
    <t>DBV</t>
  </si>
  <si>
    <t>GBA05310713</t>
  </si>
  <si>
    <t>GBA05310727</t>
  </si>
  <si>
    <t>FNRP BB MSB</t>
  </si>
  <si>
    <t>Currency</t>
  </si>
  <si>
    <t>Duration_range</t>
  </si>
  <si>
    <t>Security Name</t>
  </si>
  <si>
    <t>Type of Instr.</t>
  </si>
  <si>
    <t>Mat. Date</t>
  </si>
  <si>
    <t>Open Pos</t>
  </si>
  <si>
    <t>Price</t>
  </si>
  <si>
    <t>Clean Price</t>
  </si>
  <si>
    <t>QUANTITY</t>
  </si>
  <si>
    <t>Nominal</t>
  </si>
  <si>
    <t>Avg Price</t>
  </si>
  <si>
    <t>MARKET_VALUE</t>
  </si>
  <si>
    <t>Cpn Rate</t>
  </si>
  <si>
    <t>Accr Int</t>
  </si>
  <si>
    <t>Cpn Cumul</t>
  </si>
  <si>
    <t>Cpn Reinvested</t>
  </si>
  <si>
    <t>Cost of Carry</t>
  </si>
  <si>
    <t>Yield Mat</t>
  </si>
  <si>
    <t>Mod Dur</t>
  </si>
  <si>
    <t>DURATION</t>
  </si>
  <si>
    <t>Cnvx.</t>
  </si>
  <si>
    <t>Cnvx. Value</t>
  </si>
  <si>
    <t>BPV (K)</t>
  </si>
  <si>
    <t>Theta (K)</t>
  </si>
  <si>
    <t>REALIZED_CUR</t>
  </si>
  <si>
    <t>UNREALIZED_CUR</t>
  </si>
  <si>
    <t>P/L Clean Price</t>
  </si>
  <si>
    <t>P/L Currency</t>
  </si>
  <si>
    <t>P/L Local</t>
  </si>
  <si>
    <t>P/L Report</t>
  </si>
  <si>
    <t>avg yield</t>
  </si>
  <si>
    <t>SOM KYRGYZSTAN</t>
  </si>
  <si>
    <t>3 yrs &lt;= duration &lt; 5 yrs</t>
  </si>
  <si>
    <t>GOVBOND</t>
  </si>
  <si>
    <t>13/07/2031</t>
  </si>
  <si>
    <t>Buy</t>
  </si>
  <si>
    <t>27/07/2031</t>
  </si>
  <si>
    <t>Ccy</t>
  </si>
  <si>
    <t>Rate</t>
  </si>
  <si>
    <t>RateDate</t>
  </si>
  <si>
    <t>Source</t>
  </si>
  <si>
    <t>KGS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</si>
</sst>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m/d/yyyy"/>
    <numFmt numFmtId="166" formatCode="[$-409]mmm\-yy;@"/>
    <numFmt numFmtId="167" formatCode="_(* #,##0_);_(* \(#,##0\);_(* &quot;-&quot;??_);_(@_)"/>
  </numFmts>
  <fonts count="2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1"/>
      <color theme="1"/>
      <name val="Aptos Narrow"/>
      <family val="2"/>
      <scheme val="minor"/>
    </font>
    <font>
      <sz val="12"/>
      <color theme="1"/>
      <name val="Calibri Light"/>
      <family val="2"/>
    </font>
    <font>
      <b/>
      <sz val="12"/>
      <color rgb="FFFFFFFF"/>
      <name val="Calibri Light"/>
      <family val="2"/>
    </font>
    <font>
      <sz val="12"/>
      <color rgb="FF000000"/>
      <name val="Calibri Light"/>
      <family val="2"/>
    </font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libri Light"/>
      <family val="2"/>
    </font>
    <font>
      <b/>
      <sz val="12"/>
      <color theme="1"/>
      <name val="Calibri Light"/>
      <family val="2"/>
    </font>
    <font>
      <b/>
      <sz val="12"/>
      <color rgb="FFFF0000"/>
      <name val="Calibri Light"/>
      <family val="2"/>
    </font>
    <font>
      <sz val="12"/>
      <name val="Calibri Light"/>
      <family val="2"/>
    </font>
    <font>
      <sz val="12"/>
      <color rgb="FFFFFFFF"/>
      <name val="Calibri Light"/>
      <family val="2"/>
    </font>
    <font>
      <sz val="12"/>
      <color rgb="FFFF0000"/>
      <name val="Calibri Light"/>
      <family val="2"/>
    </font>
    <font>
      <b/>
      <sz val="12"/>
      <color rgb="FF000000"/>
      <name val="Calibri Light"/>
      <family val="2"/>
    </font>
    <font>
      <sz val="12"/>
      <color theme="0"/>
      <name val="Calibri Light"/>
      <family val="2"/>
    </font>
    <font>
      <sz val="11"/>
      <color rgb="FFFFFF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96D2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41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14" fillId="13" borderId="13" applyNumberFormat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</cellStyleXfs>
  <cellXfs count="140">
    <xf numFmtId="0" fontId="0" fillId="0" borderId="0" xfId="0"/>
    <xf numFmtId="0" fontId="3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4" fontId="4" fillId="3" borderId="0" xfId="0" applyNumberFormat="1" applyFont="1" applyFill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0" fontId="4" fillId="0" borderId="0" xfId="0" applyFont="1"/>
    <xf numFmtId="0" fontId="4" fillId="0" borderId="0" xfId="0" quotePrefix="1" applyFont="1"/>
    <xf numFmtId="0" fontId="3" fillId="0" borderId="0" xfId="0" applyFont="1" applyAlignment="1">
      <alignment vertical="center"/>
    </xf>
    <xf numFmtId="0" fontId="10" fillId="3" borderId="0" xfId="0" applyFont="1" applyFill="1"/>
    <xf numFmtId="0" fontId="10" fillId="0" borderId="0" xfId="0" applyFont="1"/>
    <xf numFmtId="0" fontId="11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15" fontId="10" fillId="0" borderId="1" xfId="0" applyNumberFormat="1" applyFont="1" applyBorder="1" applyAlignment="1">
      <alignment horizontal="center" vertical="center"/>
    </xf>
    <xf numFmtId="0" fontId="12" fillId="3" borderId="0" xfId="0" applyFont="1" applyFill="1" applyAlignment="1">
      <alignment vertical="center"/>
    </xf>
    <xf numFmtId="0" fontId="11" fillId="7" borderId="1" xfId="0" applyFont="1" applyFill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3" fillId="12" borderId="0" xfId="0" applyFont="1" applyFill="1" applyAlignment="1">
      <alignment vertical="center"/>
    </xf>
    <xf numFmtId="14" fontId="4" fillId="12" borderId="0" xfId="0" applyNumberFormat="1" applyFont="1" applyFill="1" applyAlignment="1">
      <alignment horizontal="left" vertical="center"/>
    </xf>
    <xf numFmtId="0" fontId="10" fillId="12" borderId="0" xfId="0" applyFont="1" applyFill="1" applyAlignment="1">
      <alignment horizontal="center"/>
    </xf>
    <xf numFmtId="0" fontId="10" fillId="12" borderId="0" xfId="0" applyFont="1" applyFill="1"/>
    <xf numFmtId="14" fontId="2" fillId="0" borderId="0" xfId="1" applyNumberFormat="1" applyAlignment="1">
      <alignment horizontal="left"/>
    </xf>
    <xf numFmtId="14" fontId="0" fillId="0" borderId="0" xfId="0" applyNumberFormat="1"/>
    <xf numFmtId="0" fontId="9" fillId="3" borderId="0" xfId="0" applyFont="1" applyFill="1"/>
    <xf numFmtId="14" fontId="1" fillId="0" borderId="0" xfId="0" applyNumberFormat="1" applyFont="1"/>
    <xf numFmtId="0" fontId="1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5" fillId="3" borderId="0" xfId="0" applyFont="1" applyFill="1" applyAlignment="1">
      <alignment horizontal="right"/>
    </xf>
    <xf numFmtId="165" fontId="0" fillId="0" borderId="0" xfId="0" applyNumberFormat="1"/>
    <xf numFmtId="41" fontId="0" fillId="0" borderId="0" xfId="2" applyFont="1"/>
    <xf numFmtId="0" fontId="1" fillId="0" borderId="0" xfId="0" quotePrefix="1" applyFont="1"/>
    <xf numFmtId="166" fontId="15" fillId="0" borderId="0" xfId="6" applyFont="1" applyFill="1" applyBorder="1" applyAlignment="1">
      <alignment horizontal="center" vertical="center"/>
    </xf>
    <xf numFmtId="0" fontId="15" fillId="0" borderId="0" xfId="6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" fontId="0" fillId="0" borderId="0" xfId="0" applyNumberFormat="1"/>
    <xf numFmtId="14" fontId="4" fillId="0" borderId="0" xfId="0" quotePrefix="1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7" fillId="9" borderId="4" xfId="0" applyFont="1" applyFill="1" applyBorder="1" applyAlignment="1">
      <alignment horizontal="center" vertical="center" wrapText="1"/>
    </xf>
    <xf numFmtId="41" fontId="17" fillId="9" borderId="5" xfId="2" applyFont="1" applyFill="1" applyBorder="1" applyAlignment="1">
      <alignment horizontal="center" vertical="center" wrapText="1"/>
    </xf>
    <xf numFmtId="0" fontId="17" fillId="9" borderId="5" xfId="0" applyFont="1" applyFill="1" applyBorder="1" applyAlignment="1">
      <alignment horizontal="center" vertical="center" wrapText="1"/>
    </xf>
    <xf numFmtId="9" fontId="17" fillId="9" borderId="5" xfId="3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9" fontId="11" fillId="6" borderId="5" xfId="3" applyFont="1" applyFill="1" applyBorder="1" applyAlignment="1">
      <alignment horizontal="center" vertical="center" wrapText="1"/>
    </xf>
    <xf numFmtId="9" fontId="10" fillId="0" borderId="0" xfId="3" applyFont="1" applyBorder="1" applyAlignment="1">
      <alignment horizontal="center" vertical="center"/>
    </xf>
    <xf numFmtId="9" fontId="19" fillId="0" borderId="0" xfId="3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9" fontId="10" fillId="0" borderId="0" xfId="3" applyFont="1" applyAlignment="1">
      <alignment vertical="center"/>
    </xf>
    <xf numFmtId="0" fontId="20" fillId="0" borderId="6" xfId="0" applyFont="1" applyBorder="1" applyAlignment="1">
      <alignment horizontal="left" vertical="center"/>
    </xf>
    <xf numFmtId="41" fontId="20" fillId="0" borderId="0" xfId="2" applyFont="1" applyBorder="1" applyAlignment="1">
      <alignment horizontal="center" vertical="center"/>
    </xf>
    <xf numFmtId="165" fontId="20" fillId="11" borderId="0" xfId="0" applyNumberFormat="1" applyFont="1" applyFill="1" applyAlignment="1">
      <alignment horizontal="center" vertical="center"/>
    </xf>
    <xf numFmtId="9" fontId="20" fillId="11" borderId="0" xfId="3" applyFont="1" applyFill="1" applyBorder="1" applyAlignment="1">
      <alignment horizontal="center" vertical="center"/>
    </xf>
    <xf numFmtId="0" fontId="21" fillId="6" borderId="0" xfId="0" applyFont="1" applyFill="1" applyAlignment="1">
      <alignment horizontal="center" vertical="center" wrapText="1"/>
    </xf>
    <xf numFmtId="9" fontId="21" fillId="6" borderId="0" xfId="3" applyFont="1" applyFill="1" applyBorder="1" applyAlignment="1">
      <alignment horizontal="center" vertical="center" wrapText="1"/>
    </xf>
    <xf numFmtId="9" fontId="22" fillId="0" borderId="0" xfId="3" applyFont="1" applyFill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9" fontId="23" fillId="0" borderId="1" xfId="0" applyNumberFormat="1" applyFont="1" applyBorder="1" applyAlignment="1">
      <alignment horizontal="center" vertical="center" wrapText="1"/>
    </xf>
    <xf numFmtId="9" fontId="12" fillId="0" borderId="1" xfId="0" applyNumberFormat="1" applyFont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9" fontId="12" fillId="0" borderId="1" xfId="3" applyFont="1" applyFill="1" applyBorder="1" applyAlignment="1">
      <alignment horizontal="center" vertical="center" wrapText="1"/>
    </xf>
    <xf numFmtId="164" fontId="10" fillId="8" borderId="0" xfId="3" applyNumberFormat="1" applyFont="1" applyFill="1" applyAlignment="1">
      <alignment vertical="center"/>
    </xf>
    <xf numFmtId="9" fontId="12" fillId="8" borderId="1" xfId="3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vertical="center" wrapText="1"/>
    </xf>
    <xf numFmtId="3" fontId="17" fillId="9" borderId="1" xfId="0" applyNumberFormat="1" applyFont="1" applyFill="1" applyBorder="1" applyAlignment="1">
      <alignment horizontal="center" vertical="center" wrapText="1"/>
    </xf>
    <xf numFmtId="9" fontId="17" fillId="9" borderId="1" xfId="3" applyFont="1" applyFill="1" applyBorder="1" applyAlignment="1">
      <alignment horizontal="center" vertical="center" wrapText="1"/>
    </xf>
    <xf numFmtId="3" fontId="17" fillId="10" borderId="1" xfId="0" applyNumberFormat="1" applyFont="1" applyFill="1" applyBorder="1" applyAlignment="1">
      <alignment horizontal="center" vertical="center" wrapText="1"/>
    </xf>
    <xf numFmtId="9" fontId="17" fillId="10" borderId="1" xfId="3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1" fontId="10" fillId="0" borderId="1" xfId="2" applyFont="1" applyBorder="1" applyAlignment="1">
      <alignment vertical="center"/>
    </xf>
    <xf numFmtId="9" fontId="20" fillId="14" borderId="0" xfId="3" applyFont="1" applyFill="1" applyBorder="1" applyAlignment="1">
      <alignment horizontal="center" vertical="center"/>
    </xf>
    <xf numFmtId="41" fontId="20" fillId="0" borderId="0" xfId="2" applyFont="1" applyAlignment="1">
      <alignment horizontal="center" vertical="center"/>
    </xf>
    <xf numFmtId="0" fontId="17" fillId="9" borderId="7" xfId="0" applyFont="1" applyFill="1" applyBorder="1" applyAlignment="1">
      <alignment horizontal="left" vertical="center"/>
    </xf>
    <xf numFmtId="41" fontId="17" fillId="9" borderId="8" xfId="0" applyNumberFormat="1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14" fontId="17" fillId="9" borderId="8" xfId="0" applyNumberFormat="1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41" fontId="10" fillId="0" borderId="0" xfId="2" applyFont="1" applyBorder="1" applyAlignment="1">
      <alignment vertical="center"/>
    </xf>
    <xf numFmtId="0" fontId="10" fillId="0" borderId="0" xfId="2" applyNumberFormat="1" applyFont="1" applyBorder="1" applyAlignment="1">
      <alignment horizontal="center" vertical="center"/>
    </xf>
    <xf numFmtId="9" fontId="10" fillId="0" borderId="0" xfId="3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41" fontId="18" fillId="0" borderId="1" xfId="0" applyNumberFormat="1" applyFont="1" applyBorder="1" applyAlignment="1">
      <alignment vertical="center"/>
    </xf>
    <xf numFmtId="9" fontId="17" fillId="0" borderId="0" xfId="3" applyFont="1" applyFill="1" applyBorder="1" applyAlignment="1">
      <alignment horizontal="center" vertical="center"/>
    </xf>
    <xf numFmtId="0" fontId="17" fillId="9" borderId="0" xfId="0" applyFont="1" applyFill="1" applyAlignment="1">
      <alignment horizontal="left" vertical="center"/>
    </xf>
    <xf numFmtId="41" fontId="17" fillId="9" borderId="0" xfId="0" applyNumberFormat="1" applyFont="1" applyFill="1" applyAlignment="1">
      <alignment horizontal="center" vertical="center"/>
    </xf>
    <xf numFmtId="14" fontId="17" fillId="9" borderId="0" xfId="0" applyNumberFormat="1" applyFont="1" applyFill="1" applyAlignment="1">
      <alignment horizontal="center" vertical="center"/>
    </xf>
    <xf numFmtId="41" fontId="17" fillId="9" borderId="0" xfId="2" applyFont="1" applyFill="1" applyBorder="1" applyAlignment="1">
      <alignment horizontal="center" vertical="center"/>
    </xf>
    <xf numFmtId="9" fontId="20" fillId="9" borderId="0" xfId="3" applyFont="1" applyFill="1" applyBorder="1" applyAlignment="1">
      <alignment horizontal="center" vertical="center"/>
    </xf>
    <xf numFmtId="41" fontId="10" fillId="0" borderId="0" xfId="2" applyFont="1" applyAlignment="1">
      <alignment vertical="center"/>
    </xf>
    <xf numFmtId="9" fontId="22" fillId="0" borderId="0" xfId="3" applyFont="1" applyFill="1" applyAlignment="1">
      <alignment vertical="center"/>
    </xf>
    <xf numFmtId="0" fontId="10" fillId="9" borderId="0" xfId="0" applyFont="1" applyFill="1"/>
    <xf numFmtId="0" fontId="17" fillId="9" borderId="0" xfId="0" applyFont="1" applyFill="1" applyAlignment="1">
      <alignment horizontal="center" vertical="center" wrapText="1"/>
    </xf>
    <xf numFmtId="41" fontId="17" fillId="9" borderId="0" xfId="2" applyFont="1" applyFill="1" applyBorder="1" applyAlignment="1">
      <alignment horizontal="center" vertical="center" wrapText="1"/>
    </xf>
    <xf numFmtId="0" fontId="20" fillId="15" borderId="0" xfId="2" applyNumberFormat="1" applyFont="1" applyFill="1" applyBorder="1" applyAlignment="1">
      <alignment horizontal="center" vertical="center"/>
    </xf>
    <xf numFmtId="14" fontId="20" fillId="0" borderId="0" xfId="2" applyNumberFormat="1" applyFont="1" applyBorder="1" applyAlignment="1">
      <alignment horizontal="center" vertical="center"/>
    </xf>
    <xf numFmtId="9" fontId="10" fillId="11" borderId="0" xfId="3" applyFont="1" applyFill="1" applyBorder="1"/>
    <xf numFmtId="41" fontId="20" fillId="16" borderId="0" xfId="2" applyFont="1" applyFill="1" applyBorder="1" applyAlignment="1">
      <alignment horizontal="center" vertical="center"/>
    </xf>
    <xf numFmtId="9" fontId="20" fillId="16" borderId="0" xfId="3" applyFont="1" applyFill="1" applyBorder="1" applyAlignment="1">
      <alignment horizontal="center" vertical="center"/>
    </xf>
    <xf numFmtId="9" fontId="10" fillId="14" borderId="0" xfId="3" applyFont="1" applyFill="1" applyBorder="1"/>
    <xf numFmtId="41" fontId="11" fillId="5" borderId="1" xfId="2" applyFont="1" applyFill="1" applyBorder="1" applyAlignment="1">
      <alignment horizontal="center" vertical="center"/>
    </xf>
    <xf numFmtId="41" fontId="10" fillId="0" borderId="0" xfId="2" applyFont="1"/>
    <xf numFmtId="9" fontId="17" fillId="9" borderId="1" xfId="2" applyNumberFormat="1" applyFont="1" applyFill="1" applyBorder="1" applyAlignment="1">
      <alignment horizontal="center" vertical="center" wrapText="1"/>
    </xf>
    <xf numFmtId="0" fontId="7" fillId="0" borderId="1" xfId="0" applyFont="1" applyBorder="1"/>
    <xf numFmtId="167" fontId="0" fillId="0" borderId="0" xfId="7" applyNumberFormat="1" applyFont="1"/>
    <xf numFmtId="0" fontId="25" fillId="0" borderId="0" xfId="0" applyFont="1"/>
    <xf numFmtId="43" fontId="12" fillId="0" borderId="1" xfId="0" applyNumberFormat="1" applyFont="1" applyBorder="1" applyAlignment="1">
      <alignment horizontal="center" vertical="center"/>
    </xf>
    <xf numFmtId="43" fontId="12" fillId="0" borderId="1" xfId="7" applyFont="1" applyBorder="1" applyAlignment="1">
      <alignment horizontal="center" vertical="center"/>
    </xf>
    <xf numFmtId="0" fontId="10" fillId="0" borderId="0" xfId="0" pivotButton="1" applyFont="1"/>
    <xf numFmtId="0" fontId="10" fillId="0" borderId="0" xfId="0" applyFont="1" applyAlignment="1">
      <alignment horizontal="left"/>
    </xf>
    <xf numFmtId="41" fontId="10" fillId="0" borderId="0" xfId="0" applyNumberFormat="1" applyFont="1"/>
    <xf numFmtId="0" fontId="20" fillId="11" borderId="0" xfId="0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15" borderId="0" xfId="2" applyNumberFormat="1" applyFont="1" applyFill="1" applyAlignment="1">
      <alignment horizontal="center" vertical="center"/>
    </xf>
    <xf numFmtId="14" fontId="20" fillId="0" borderId="0" xfId="2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1" fontId="10" fillId="11" borderId="0" xfId="2" applyFont="1" applyFill="1" applyBorder="1" applyAlignment="1">
      <alignment horizontal="center" vertical="center"/>
    </xf>
    <xf numFmtId="41" fontId="10" fillId="11" borderId="0" xfId="2" applyFont="1" applyFill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center" vertical="center"/>
    </xf>
    <xf numFmtId="0" fontId="11" fillId="5" borderId="10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/>
    </xf>
  </cellXfs>
  <cellStyles count="8">
    <cellStyle name="Comma" xfId="7" builtinId="3"/>
    <cellStyle name="Comma [0]" xfId="2" builtinId="6"/>
    <cellStyle name="Comma 13 10 4" xfId="4" xr:uid="{48951615-0B31-42A3-BA60-7B04350C28D1}"/>
    <cellStyle name="HeaderStyle 2" xfId="6" xr:uid="{2387687C-E6C3-4A8D-BF2B-00E037E9CEE3}"/>
    <cellStyle name="Hyperlink" xfId="1" builtinId="8"/>
    <cellStyle name="Normal" xfId="0" builtinId="0"/>
    <cellStyle name="Percent" xfId="3" builtinId="5"/>
    <cellStyle name="Percent 3" xfId="5" xr:uid="{5E6FFF52-7C44-434C-A7CA-F63DB8C3C4CF}"/>
  </cellStyles>
  <dxfs count="135"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(* #,##0_);_(* \(#,##0\);_(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165" formatCode="m/d/yyyy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165" formatCode="m/d/yyyy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165" formatCode="m/d/yyyy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none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hair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border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 Light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165" formatCode="m/d/yyyy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165" formatCode="m/d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 Light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theme="0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 Light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font>
        <name val="Calibri Light"/>
        <scheme val="none"/>
      </font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rgb="FFC00000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border>
        <bottom style="thin">
          <color theme="2" tint="-0.2499465926084170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165" formatCode="m/d/yyyy"/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4"/>
        </top>
      </border>
    </dxf>
    <dxf>
      <font>
        <strike val="0"/>
        <outline val="0"/>
        <shadow val="0"/>
        <u val="none"/>
        <vertAlign val="baseline"/>
        <sz val="10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78182</xdr:colOff>
      <xdr:row>11</xdr:row>
      <xdr:rowOff>157441</xdr:rowOff>
    </xdr:from>
    <xdr:to>
      <xdr:col>5</xdr:col>
      <xdr:colOff>215727</xdr:colOff>
      <xdr:row>16</xdr:row>
      <xdr:rowOff>66556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D1AEC653-D1DE-7B94-C5A4-BFA2090443AF}"/>
            </a:ext>
          </a:extLst>
        </xdr:cNvPr>
        <xdr:cNvSpPr/>
      </xdr:nvSpPr>
      <xdr:spPr>
        <a:xfrm>
          <a:off x="2065829" y="2357716"/>
          <a:ext cx="909071" cy="909240"/>
        </a:xfrm>
        <a:prstGeom prst="ellipse">
          <a:avLst/>
        </a:prstGeom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xdr:spPr>
      <xdr:style>
        <a:lnRef idx="0">
          <a:schemeClr val="lt1">
            <a:hueOff val="0"/>
            <a:satOff val="0"/>
            <a:lumOff val="0"/>
            <a:alphaOff val="0"/>
          </a:schemeClr>
        </a:lnRef>
        <a:fillRef idx="3">
          <a:schemeClr val="accent1">
            <a:hueOff val="0"/>
            <a:satOff val="0"/>
            <a:lumOff val="0"/>
            <a:alphaOff val="0"/>
          </a:schemeClr>
        </a:fillRef>
        <a:effectRef idx="2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 editAs="absolute">
    <xdr:from>
      <xdr:col>3</xdr:col>
      <xdr:colOff>108366</xdr:colOff>
      <xdr:row>11</xdr:row>
      <xdr:rowOff>187755</xdr:rowOff>
    </xdr:from>
    <xdr:to>
      <xdr:col>5</xdr:col>
      <xdr:colOff>185543</xdr:colOff>
      <xdr:row>16</xdr:row>
      <xdr:rowOff>36243</xdr:rowOff>
    </xdr:to>
    <xdr:sp macro="[0]!Backup" textlink="">
      <xdr:nvSpPr>
        <xdr:cNvPr id="19" name="Freeform: Shape 18">
          <a:extLst>
            <a:ext uri="{FF2B5EF4-FFF2-40B4-BE49-F238E27FC236}">
              <a16:creationId xmlns:a16="http://schemas.microsoft.com/office/drawing/2014/main" id="{EF04A1BB-03C8-0EEC-59FF-946CA2346321}"/>
            </a:ext>
          </a:extLst>
        </xdr:cNvPr>
        <xdr:cNvSpPr/>
      </xdr:nvSpPr>
      <xdr:spPr>
        <a:xfrm>
          <a:off x="2096013" y="2388030"/>
          <a:ext cx="848703" cy="848613"/>
        </a:xfrm>
        <a:custGeom>
          <a:avLst/>
          <a:gdLst>
            <a:gd name="connsiteX0" fmla="*/ 0 w 848703"/>
            <a:gd name="connsiteY0" fmla="*/ 424307 h 848613"/>
            <a:gd name="connsiteX1" fmla="*/ 424352 w 848703"/>
            <a:gd name="connsiteY1" fmla="*/ 0 h 848613"/>
            <a:gd name="connsiteX2" fmla="*/ 848704 w 848703"/>
            <a:gd name="connsiteY2" fmla="*/ 424307 h 848613"/>
            <a:gd name="connsiteX3" fmla="*/ 424352 w 848703"/>
            <a:gd name="connsiteY3" fmla="*/ 848614 h 848613"/>
            <a:gd name="connsiteX4" fmla="*/ 0 w 848703"/>
            <a:gd name="connsiteY4" fmla="*/ 424307 h 8486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848703" h="848613">
              <a:moveTo>
                <a:pt x="0" y="424307"/>
              </a:moveTo>
              <a:cubicBezTo>
                <a:pt x="0" y="189969"/>
                <a:pt x="189989" y="0"/>
                <a:pt x="424352" y="0"/>
              </a:cubicBezTo>
              <a:cubicBezTo>
                <a:pt x="658715" y="0"/>
                <a:pt x="848704" y="189969"/>
                <a:pt x="848704" y="424307"/>
              </a:cubicBezTo>
              <a:cubicBezTo>
                <a:pt x="848704" y="658645"/>
                <a:pt x="658715" y="848614"/>
                <a:pt x="424352" y="848614"/>
              </a:cubicBezTo>
              <a:cubicBezTo>
                <a:pt x="189989" y="848614"/>
                <a:pt x="0" y="658645"/>
                <a:pt x="0" y="424307"/>
              </a:cubicBezTo>
              <a:close/>
            </a:path>
          </a:pathLst>
        </a:custGeom>
        <a:scene3d>
          <a:camera prst="orthographicFront"/>
          <a:lightRig rig="threePt" dir="t">
            <a:rot lat="0" lon="0" rev="7500000"/>
          </a:lightRig>
        </a:scene3d>
        <a:sp3d z="152400" extrusionH="63500" prstMaterial="dkEdge">
          <a:bevelT w="135400" h="16350" prst="relaxedInset"/>
          <a:contourClr>
            <a:schemeClr val="bg1"/>
          </a:contourClr>
        </a:sp3d>
      </xdr:spPr>
      <xdr:style>
        <a:lnRef idx="1">
          <a:schemeClr val="accent1">
            <a:hueOff val="0"/>
            <a:satOff val="0"/>
            <a:lumOff val="0"/>
            <a:alphaOff val="0"/>
          </a:schemeClr>
        </a:lnRef>
        <a:fillRef idx="1">
          <a:schemeClr val="lt1">
            <a:alpha val="90000"/>
            <a:hueOff val="0"/>
            <a:satOff val="0"/>
            <a:lumOff val="0"/>
            <a:alphaOff val="0"/>
          </a:schemeClr>
        </a:fillRef>
        <a:effectRef idx="2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spcFirstLastPara="0" vert="horz" wrap="square" lIns="135298" tIns="135223" rIns="135298" bIns="135224" numCol="1" spcCol="1270" anchor="ctr" anchorCtr="0">
          <a:noAutofit/>
        </a:bodyPr>
        <a:lstStyle/>
        <a:p>
          <a:pPr marL="0" lvl="0" indent="0" algn="ctr" defTabSz="488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100" kern="1200"/>
            <a:t>Backup</a:t>
          </a:r>
        </a:p>
      </xdr:txBody>
    </xdr:sp>
    <xdr:clientData/>
  </xdr:twoCellAnchor>
  <xdr:twoCellAnchor editAs="absolute">
    <xdr:from>
      <xdr:col>1</xdr:col>
      <xdr:colOff>858767</xdr:colOff>
      <xdr:row>11</xdr:row>
      <xdr:rowOff>158540</xdr:rowOff>
    </xdr:from>
    <xdr:to>
      <xdr:col>3</xdr:col>
      <xdr:colOff>46607</xdr:colOff>
      <xdr:row>16</xdr:row>
      <xdr:rowOff>65297</xdr:rowOff>
    </xdr:to>
    <xdr:sp macro="" textlink="">
      <xdr:nvSpPr>
        <xdr:cNvPr id="20" name="Teardrop 19">
          <a:extLst>
            <a:ext uri="{FF2B5EF4-FFF2-40B4-BE49-F238E27FC236}">
              <a16:creationId xmlns:a16="http://schemas.microsoft.com/office/drawing/2014/main" id="{91B984F0-C1D7-F107-C4C0-C8596B842B3C}"/>
            </a:ext>
          </a:extLst>
        </xdr:cNvPr>
        <xdr:cNvSpPr/>
      </xdr:nvSpPr>
      <xdr:spPr>
        <a:xfrm rot="2700000">
          <a:off x="1127372" y="2358815"/>
          <a:ext cx="906882" cy="906882"/>
        </a:xfrm>
        <a:prstGeom prst="teardrop">
          <a:avLst>
            <a:gd name="adj" fmla="val 100000"/>
          </a:avLst>
        </a:prstGeom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xdr:spPr>
      <xdr:style>
        <a:lnRef idx="0">
          <a:schemeClr val="lt1">
            <a:hueOff val="0"/>
            <a:satOff val="0"/>
            <a:lumOff val="0"/>
            <a:alphaOff val="0"/>
          </a:schemeClr>
        </a:lnRef>
        <a:fillRef idx="3">
          <a:schemeClr val="accent1">
            <a:hueOff val="0"/>
            <a:satOff val="0"/>
            <a:lumOff val="0"/>
            <a:alphaOff val="0"/>
          </a:schemeClr>
        </a:fillRef>
        <a:effectRef idx="2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 editAs="absolute">
    <xdr:from>
      <xdr:col>1</xdr:col>
      <xdr:colOff>887856</xdr:colOff>
      <xdr:row>11</xdr:row>
      <xdr:rowOff>187755</xdr:rowOff>
    </xdr:from>
    <xdr:to>
      <xdr:col>3</xdr:col>
      <xdr:colOff>17517</xdr:colOff>
      <xdr:row>16</xdr:row>
      <xdr:rowOff>36243</xdr:rowOff>
    </xdr:to>
    <xdr:sp macro="[0]!Upload53" textlink="">
      <xdr:nvSpPr>
        <xdr:cNvPr id="21" name="Freeform: Shape 20">
          <a:extLst>
            <a:ext uri="{FF2B5EF4-FFF2-40B4-BE49-F238E27FC236}">
              <a16:creationId xmlns:a16="http://schemas.microsoft.com/office/drawing/2014/main" id="{E08C82DF-C642-CA18-BF4B-88F9A7D37CC0}"/>
            </a:ext>
          </a:extLst>
        </xdr:cNvPr>
        <xdr:cNvSpPr/>
      </xdr:nvSpPr>
      <xdr:spPr>
        <a:xfrm>
          <a:off x="1156461" y="2388030"/>
          <a:ext cx="848703" cy="848613"/>
        </a:xfrm>
        <a:custGeom>
          <a:avLst/>
          <a:gdLst>
            <a:gd name="connsiteX0" fmla="*/ 0 w 848703"/>
            <a:gd name="connsiteY0" fmla="*/ 424307 h 848613"/>
            <a:gd name="connsiteX1" fmla="*/ 424352 w 848703"/>
            <a:gd name="connsiteY1" fmla="*/ 0 h 848613"/>
            <a:gd name="connsiteX2" fmla="*/ 848704 w 848703"/>
            <a:gd name="connsiteY2" fmla="*/ 424307 h 848613"/>
            <a:gd name="connsiteX3" fmla="*/ 424352 w 848703"/>
            <a:gd name="connsiteY3" fmla="*/ 848614 h 848613"/>
            <a:gd name="connsiteX4" fmla="*/ 0 w 848703"/>
            <a:gd name="connsiteY4" fmla="*/ 424307 h 8486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848703" h="848613">
              <a:moveTo>
                <a:pt x="0" y="424307"/>
              </a:moveTo>
              <a:cubicBezTo>
                <a:pt x="0" y="189969"/>
                <a:pt x="189989" y="0"/>
                <a:pt x="424352" y="0"/>
              </a:cubicBezTo>
              <a:cubicBezTo>
                <a:pt x="658715" y="0"/>
                <a:pt x="848704" y="189969"/>
                <a:pt x="848704" y="424307"/>
              </a:cubicBezTo>
              <a:cubicBezTo>
                <a:pt x="848704" y="658645"/>
                <a:pt x="658715" y="848614"/>
                <a:pt x="424352" y="848614"/>
              </a:cubicBezTo>
              <a:cubicBezTo>
                <a:pt x="189989" y="848614"/>
                <a:pt x="0" y="658645"/>
                <a:pt x="0" y="424307"/>
              </a:cubicBezTo>
              <a:close/>
            </a:path>
          </a:pathLst>
        </a:custGeom>
        <a:scene3d>
          <a:camera prst="orthographicFront"/>
          <a:lightRig rig="threePt" dir="t">
            <a:rot lat="0" lon="0" rev="7500000"/>
          </a:lightRig>
        </a:scene3d>
        <a:sp3d z="152400" extrusionH="63500" prstMaterial="dkEdge">
          <a:bevelT w="135400" h="16350" prst="relaxedInset"/>
          <a:contourClr>
            <a:schemeClr val="bg1"/>
          </a:contourClr>
        </a:sp3d>
      </xdr:spPr>
      <xdr:style>
        <a:lnRef idx="1">
          <a:schemeClr val="accent1">
            <a:hueOff val="0"/>
            <a:satOff val="0"/>
            <a:lumOff val="0"/>
            <a:alphaOff val="0"/>
          </a:schemeClr>
        </a:lnRef>
        <a:fillRef idx="1">
          <a:schemeClr val="lt1">
            <a:alpha val="90000"/>
            <a:hueOff val="0"/>
            <a:satOff val="0"/>
            <a:lumOff val="0"/>
            <a:alphaOff val="0"/>
          </a:schemeClr>
        </a:fillRef>
        <a:effectRef idx="2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spcFirstLastPara="0" vert="horz" wrap="square" lIns="135298" tIns="135223" rIns="135298" bIns="135224" numCol="1" spcCol="1270" anchor="ctr" anchorCtr="0">
          <a:noAutofit/>
        </a:bodyPr>
        <a:lstStyle/>
        <a:p>
          <a:pPr marL="0" lvl="0" indent="0" algn="ctr" defTabSz="488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100" kern="1200"/>
            <a:t>Upload53</a:t>
          </a:r>
        </a:p>
      </xdr:txBody>
    </xdr:sp>
    <xdr:clientData/>
  </xdr:twoCellAnchor>
  <xdr:twoCellAnchor editAs="absolute">
    <xdr:from>
      <xdr:col>0</xdr:col>
      <xdr:colOff>187820</xdr:colOff>
      <xdr:row>11</xdr:row>
      <xdr:rowOff>158540</xdr:rowOff>
    </xdr:from>
    <xdr:to>
      <xdr:col>1</xdr:col>
      <xdr:colOff>826097</xdr:colOff>
      <xdr:row>16</xdr:row>
      <xdr:rowOff>65297</xdr:rowOff>
    </xdr:to>
    <xdr:sp macro="" textlink="">
      <xdr:nvSpPr>
        <xdr:cNvPr id="22" name="Teardrop 21">
          <a:extLst>
            <a:ext uri="{FF2B5EF4-FFF2-40B4-BE49-F238E27FC236}">
              <a16:creationId xmlns:a16="http://schemas.microsoft.com/office/drawing/2014/main" id="{1F3C2B6B-3991-CAA2-DEAA-55BAC013370F}"/>
            </a:ext>
          </a:extLst>
        </xdr:cNvPr>
        <xdr:cNvSpPr/>
      </xdr:nvSpPr>
      <xdr:spPr>
        <a:xfrm rot="2700000">
          <a:off x="187820" y="2358815"/>
          <a:ext cx="906882" cy="906882"/>
        </a:xfrm>
        <a:prstGeom prst="teardrop">
          <a:avLst>
            <a:gd name="adj" fmla="val 100000"/>
          </a:avLst>
        </a:prstGeom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xdr:spPr>
      <xdr:style>
        <a:lnRef idx="0">
          <a:schemeClr val="lt1">
            <a:hueOff val="0"/>
            <a:satOff val="0"/>
            <a:lumOff val="0"/>
            <a:alphaOff val="0"/>
          </a:schemeClr>
        </a:lnRef>
        <a:fillRef idx="3">
          <a:schemeClr val="accent1">
            <a:hueOff val="0"/>
            <a:satOff val="0"/>
            <a:lumOff val="0"/>
            <a:alphaOff val="0"/>
          </a:schemeClr>
        </a:fillRef>
        <a:effectRef idx="2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 editAs="absolute">
    <xdr:from>
      <xdr:col>0</xdr:col>
      <xdr:colOff>216909</xdr:colOff>
      <xdr:row>11</xdr:row>
      <xdr:rowOff>187755</xdr:rowOff>
    </xdr:from>
    <xdr:to>
      <xdr:col>1</xdr:col>
      <xdr:colOff>797007</xdr:colOff>
      <xdr:row>16</xdr:row>
      <xdr:rowOff>36243</xdr:rowOff>
    </xdr:to>
    <xdr:sp macro="[0]!Refresh" textlink="">
      <xdr:nvSpPr>
        <xdr:cNvPr id="23" name="Freeform: Shape 22">
          <a:extLst>
            <a:ext uri="{FF2B5EF4-FFF2-40B4-BE49-F238E27FC236}">
              <a16:creationId xmlns:a16="http://schemas.microsoft.com/office/drawing/2014/main" id="{09720FE2-D18E-72B0-6CC1-4B3FFCFCA15D}"/>
            </a:ext>
          </a:extLst>
        </xdr:cNvPr>
        <xdr:cNvSpPr/>
      </xdr:nvSpPr>
      <xdr:spPr>
        <a:xfrm>
          <a:off x="216909" y="2388030"/>
          <a:ext cx="848703" cy="848613"/>
        </a:xfrm>
        <a:custGeom>
          <a:avLst/>
          <a:gdLst>
            <a:gd name="connsiteX0" fmla="*/ 0 w 848703"/>
            <a:gd name="connsiteY0" fmla="*/ 424307 h 848613"/>
            <a:gd name="connsiteX1" fmla="*/ 424352 w 848703"/>
            <a:gd name="connsiteY1" fmla="*/ 0 h 848613"/>
            <a:gd name="connsiteX2" fmla="*/ 848704 w 848703"/>
            <a:gd name="connsiteY2" fmla="*/ 424307 h 848613"/>
            <a:gd name="connsiteX3" fmla="*/ 424352 w 848703"/>
            <a:gd name="connsiteY3" fmla="*/ 848614 h 848613"/>
            <a:gd name="connsiteX4" fmla="*/ 0 w 848703"/>
            <a:gd name="connsiteY4" fmla="*/ 424307 h 8486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848703" h="848613">
              <a:moveTo>
                <a:pt x="0" y="424307"/>
              </a:moveTo>
              <a:cubicBezTo>
                <a:pt x="0" y="189969"/>
                <a:pt x="189989" y="0"/>
                <a:pt x="424352" y="0"/>
              </a:cubicBezTo>
              <a:cubicBezTo>
                <a:pt x="658715" y="0"/>
                <a:pt x="848704" y="189969"/>
                <a:pt x="848704" y="424307"/>
              </a:cubicBezTo>
              <a:cubicBezTo>
                <a:pt x="848704" y="658645"/>
                <a:pt x="658715" y="848614"/>
                <a:pt x="424352" y="848614"/>
              </a:cubicBezTo>
              <a:cubicBezTo>
                <a:pt x="189989" y="848614"/>
                <a:pt x="0" y="658645"/>
                <a:pt x="0" y="424307"/>
              </a:cubicBezTo>
              <a:close/>
            </a:path>
          </a:pathLst>
        </a:custGeom>
        <a:scene3d>
          <a:camera prst="orthographicFront"/>
          <a:lightRig rig="threePt" dir="t">
            <a:rot lat="0" lon="0" rev="7500000"/>
          </a:lightRig>
        </a:scene3d>
        <a:sp3d z="152400" extrusionH="63500" prstMaterial="dkEdge">
          <a:bevelT w="135400" h="16350" prst="relaxedInset"/>
          <a:contourClr>
            <a:schemeClr val="bg1"/>
          </a:contourClr>
        </a:sp3d>
      </xdr:spPr>
      <xdr:style>
        <a:lnRef idx="1">
          <a:schemeClr val="accent1">
            <a:hueOff val="0"/>
            <a:satOff val="0"/>
            <a:lumOff val="0"/>
            <a:alphaOff val="0"/>
          </a:schemeClr>
        </a:lnRef>
        <a:fillRef idx="1">
          <a:schemeClr val="lt1">
            <a:alpha val="90000"/>
            <a:hueOff val="0"/>
            <a:satOff val="0"/>
            <a:lumOff val="0"/>
            <a:alphaOff val="0"/>
          </a:schemeClr>
        </a:fillRef>
        <a:effectRef idx="2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spcFirstLastPara="0" vert="horz" wrap="square" lIns="135298" tIns="135223" rIns="135298" bIns="135224" numCol="1" spcCol="1270" anchor="ctr" anchorCtr="0">
          <a:noAutofit/>
        </a:bodyPr>
        <a:lstStyle/>
        <a:p>
          <a:pPr marL="0" lvl="0" indent="0" algn="ctr" defTabSz="488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100" kern="1200"/>
            <a:t>Refresh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m Pham Duc (QLRR - QLRRTTTK RRTT&amp;LSSNH)" refreshedDate="46246.706581365739" createdVersion="8" refreshedVersion="8" minRefreshableVersion="3" recordCount="47" xr:uid="{E43D06C2-348E-4713-B0F4-075BB32DA794}">
  <cacheSource type="worksheet">
    <worksheetSource name="Portfolio_by_bond"/>
  </cacheSource>
  <cacheFields count="11">
    <cacheField name="Issuer" numFmtId="0">
      <sharedItems/>
    </cacheField>
    <cacheField name="Issuer_Name" numFmtId="0">
      <sharedItems/>
    </cacheField>
    <cacheField name="Bond_Code" numFmtId="0">
      <sharedItems/>
    </cacheField>
    <cacheField name="Tenor" numFmtId="0">
      <sharedItems count="8">
        <s v="1-3M"/>
        <s v="2-3Y"/>
        <s v="6M-1Y"/>
        <s v="&lt;1M"/>
        <s v="1-2Y"/>
        <s v="5-7Y"/>
        <s v="3-6M"/>
        <s v="3-5Y"/>
      </sharedItems>
    </cacheField>
    <cacheField name="Tenor (c/p)" numFmtId="0">
      <sharedItems containsBlank="1"/>
    </cacheField>
    <cacheField name="Rating" numFmtId="0">
      <sharedItems containsBlank="1"/>
    </cacheField>
    <cacheField name="Review Date" numFmtId="14">
      <sharedItems containsNonDate="0" containsDate="1" containsString="0" containsBlank="1" minDate="2025-03-31T00:00:00" maxDate="2026-07-16T00:00:00"/>
    </cacheField>
    <cacheField name="Fitch Rating" numFmtId="0">
      <sharedItems containsBlank="1"/>
    </cacheField>
    <cacheField name="Moody Rating" numFmtId="0">
      <sharedItems containsBlank="1"/>
    </cacheField>
    <cacheField name="S&amp;P Rating" numFmtId="0">
      <sharedItems containsBlank="1"/>
    </cacheField>
    <cacheField name="Total Amount" numFmtId="41">
      <sharedItems containsSemiMixedTypes="0" containsString="0" containsNumber="1" minValue="50" maxValue="3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m Pham Duc (QLRR - QLRRTTTK RRTT&amp;LSSNH)" refreshedDate="46246.722570254627" createdVersion="8" refreshedVersion="8" minRefreshableVersion="3" recordCount="64" xr:uid="{90A2C71A-ABEF-47B3-B76E-D7038DDABCB7}">
  <cacheSource type="worksheet">
    <worksheetSource ref="W1:AL1048576" sheet="Portfolio"/>
  </cacheSource>
  <cacheFields count="16">
    <cacheField name="Issuer" numFmtId="0">
      <sharedItems containsBlank="1"/>
    </cacheField>
    <cacheField name="Issuer_Name" numFmtId="0">
      <sharedItems containsBlank="1"/>
    </cacheField>
    <cacheField name="Bond_Code" numFmtId="0">
      <sharedItems containsBlank="1"/>
    </cacheField>
    <cacheField name="Tenor" numFmtId="0">
      <sharedItems containsBlank="1"/>
    </cacheField>
    <cacheField name="Tenor (c/p)" numFmtId="0">
      <sharedItems containsBlank="1"/>
    </cacheField>
    <cacheField name="Rating" numFmtId="0">
      <sharedItems containsBlank="1"/>
    </cacheField>
    <cacheField name="Review Date" numFmtId="0">
      <sharedItems containsNonDate="0" containsDate="1" containsString="0" containsBlank="1" minDate="2025-03-31T00:00:00" maxDate="2026-07-16T00:00:00"/>
    </cacheField>
    <cacheField name="Fitch Rating" numFmtId="0">
      <sharedItems containsBlank="1"/>
    </cacheField>
    <cacheField name="Moody Rating" numFmtId="0">
      <sharedItems containsBlank="1"/>
    </cacheField>
    <cacheField name="S&amp;P Rating" numFmtId="0">
      <sharedItems containsBlank="1"/>
    </cacheField>
    <cacheField name="Total Amount" numFmtId="41">
      <sharedItems containsString="0" containsBlank="1" containsNumber="1" minValue="50" maxValue="36386.514621046583"/>
    </cacheField>
    <cacheField name="Tỷ lệ lũy kế" numFmtId="0">
      <sharedItems containsString="0" containsBlank="1" containsNumber="1" minValue="1.3741354598189282E-3" maxValue="0.99999999999999978"/>
    </cacheField>
    <cacheField name="Amount adj đối ứng" numFmtId="0">
      <sharedItems containsString="0" containsBlank="1" containsNumber="1" minValue="0" maxValue="29886.514621046579"/>
    </cacheField>
    <cacheField name="Tỷ lệ lũy kế2" numFmtId="0">
      <sharedItems containsString="0" containsBlank="1" containsNumber="1" minValue="1.6729953503774968E-3" maxValue="1"/>
    </cacheField>
    <cacheField name="Tenor (ca/pu)" numFmtId="0">
      <sharedItems containsBlank="1" count="8">
        <s v="1-3M"/>
        <s v="2-3Y"/>
        <s v="6M-1Y"/>
        <s v="&lt;1M"/>
        <s v="1-2Y"/>
        <s v="3-6M"/>
        <s v="3-5Y"/>
        <m/>
      </sharedItems>
    </cacheField>
    <cacheField name="Field16" caption="Field1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s v="HCVN"/>
    <s v="CONG TY TAI CHINH TNHH MTV HOME CREDIT VN"/>
    <s v="HCVCD180926"/>
    <x v="0"/>
    <m/>
    <s v="AAA"/>
    <d v="2026-04-16T00:00:00"/>
    <m/>
    <m/>
    <m/>
    <n v="50"/>
  </r>
  <r>
    <s v="HCVN"/>
    <s v="CONG TY TAI CHINH TNHH MTV HOME CREDIT VN"/>
    <s v="HCVCD231026"/>
    <x v="0"/>
    <m/>
    <s v="AAA"/>
    <d v="2026-04-16T00:00:00"/>
    <m/>
    <m/>
    <m/>
    <n v="200"/>
  </r>
  <r>
    <s v="HCVN"/>
    <s v="CONG TY TAI CHINH TNHH MTV HOME CREDIT VN"/>
    <s v="HCV12602"/>
    <x v="1"/>
    <m/>
    <s v="AAA"/>
    <d v="2026-04-16T00:00:00"/>
    <m/>
    <m/>
    <m/>
    <n v="1000"/>
  </r>
  <r>
    <s v="HCVN"/>
    <s v="CONG TY TAI CHINH TNHH MTV HOME CREDIT VN"/>
    <s v="HCV12502"/>
    <x v="2"/>
    <m/>
    <s v="AAA"/>
    <d v="2026-04-16T00:00:00"/>
    <m/>
    <m/>
    <m/>
    <n v="400"/>
  </r>
  <r>
    <s v="HCVN"/>
    <s v="CONG TY TAI CHINH TNHH MTV HOME CREDIT VN"/>
    <s v="HCVCD260826"/>
    <x v="3"/>
    <m/>
    <s v="AAA"/>
    <d v="2026-04-16T00:00:00"/>
    <m/>
    <m/>
    <m/>
    <n v="350"/>
  </r>
  <r>
    <s v="HCVN"/>
    <s v="CONG TY TAI CHINH TNHH MTV HOME CREDIT VN"/>
    <s v="HCVNCD190427"/>
    <x v="2"/>
    <m/>
    <s v="AAA"/>
    <d v="2026-04-16T00:00:00"/>
    <m/>
    <m/>
    <m/>
    <n v="400"/>
  </r>
  <r>
    <s v="MCSB"/>
    <s v="NGAN HANG TMCP QUAN DOI"/>
    <s v="MBB1CD200826"/>
    <x v="3"/>
    <m/>
    <s v="AAA"/>
    <d v="2026-04-24T00:00:00"/>
    <s v="BB"/>
    <s v="Ba2"/>
    <m/>
    <n v="500"/>
  </r>
  <r>
    <s v="MCSB"/>
    <s v="NGAN HANG TMCP QUAN DOI"/>
    <s v="MBBCD040227"/>
    <x v="2"/>
    <m/>
    <s v="AAA"/>
    <d v="2026-04-24T00:00:00"/>
    <s v="BB"/>
    <s v="Ba2"/>
    <m/>
    <n v="350"/>
  </r>
  <r>
    <s v="MCSB"/>
    <s v="NGAN HANG TMCP QUAN DOI"/>
    <s v="MBBOND2027"/>
    <x v="4"/>
    <m/>
    <s v="AAA"/>
    <d v="2026-04-24T00:00:00"/>
    <s v="BB"/>
    <s v="Ba2"/>
    <m/>
    <n v="500"/>
  </r>
  <r>
    <s v="TCBV-HO"/>
    <s v="NGAN HANG TMCP KY THUONG VN"/>
    <s v="TCB12603"/>
    <x v="1"/>
    <s v="6M-1Y"/>
    <s v="AAA"/>
    <d v="2026-07-08T00:00:00"/>
    <m/>
    <m/>
    <m/>
    <n v="2000"/>
  </r>
  <r>
    <s v="VBAH"/>
    <s v="NGAN HANG NONG NGHIEP VA PHAT TRIEN NONG THON"/>
    <s v="VBA12503"/>
    <x v="2"/>
    <m/>
    <s v="AAA"/>
    <d v="2026-06-30T00:00:00"/>
    <m/>
    <s v="Ba2"/>
    <m/>
    <n v="3000"/>
  </r>
  <r>
    <s v="ACBV"/>
    <s v="NGAN HANG TMCP A CHAU"/>
    <s v="ACBCD090427"/>
    <x v="2"/>
    <m/>
    <s v="AA"/>
    <d v="2026-06-30T00:00:00"/>
    <s v="BB-"/>
    <s v="Ba3"/>
    <m/>
    <n v="176"/>
  </r>
  <r>
    <s v="HDBV"/>
    <s v="NGAN HANG TMCP PHAT TRIEN TP  HO CHI MINH"/>
    <s v="HDB125011"/>
    <x v="5"/>
    <s v="6M-1Y"/>
    <s v="AA"/>
    <d v="2025-12-31T00:00:00"/>
    <m/>
    <s v="B1"/>
    <m/>
    <n v="397.61059999999998"/>
  </r>
  <r>
    <s v="HDBV"/>
    <s v="NGAN HANG TMCP PHAT TRIEN TP  HO CHI MINH"/>
    <s v="HDB1CD031126"/>
    <x v="6"/>
    <m/>
    <s v="AA"/>
    <d v="2025-12-31T00:00:00"/>
    <m/>
    <s v="B1"/>
    <m/>
    <n v="1000"/>
  </r>
  <r>
    <s v="HDBV"/>
    <s v="NGAN HANG TMCP PHAT TRIEN TP  HO CHI MINH"/>
    <s v="HDB12M261126"/>
    <x v="6"/>
    <m/>
    <s v="AA"/>
    <d v="2025-12-31T00:00:00"/>
    <m/>
    <s v="B1"/>
    <m/>
    <n v="1500"/>
  </r>
  <r>
    <s v="LVBT"/>
    <s v="NGAN HANG TMCP LOC PHAT VN"/>
    <s v="LPB12407"/>
    <x v="5"/>
    <s v="1-3M"/>
    <s v="AA"/>
    <d v="2026-06-26T00:00:00"/>
    <m/>
    <s v="Ba3"/>
    <m/>
    <n v="1000"/>
  </r>
  <r>
    <s v="LVBT"/>
    <s v="NGAN HANG TMCP LOC PHAT VN"/>
    <s v="LPBCD210826"/>
    <x v="3"/>
    <m/>
    <s v="AA"/>
    <d v="2026-06-26T00:00:00"/>
    <m/>
    <s v="Ba3"/>
    <m/>
    <n v="1500"/>
  </r>
  <r>
    <s v="TC_DIENLUC"/>
    <s v="CONG TY TAI CHINH CO PHAN DIEN LUC"/>
    <s v="EVNFC170527"/>
    <x v="2"/>
    <m/>
    <s v="AA"/>
    <d v="2026-05-22T00:00:00"/>
    <m/>
    <s v="B2"/>
    <m/>
    <n v="268"/>
  </r>
  <r>
    <s v="TC_DIENLUC"/>
    <s v="CONG TY TAI CHINH CO PHAN DIEN LUC"/>
    <s v="EVNFC010227"/>
    <x v="2"/>
    <m/>
    <s v="AA"/>
    <d v="2026-05-22T00:00:00"/>
    <m/>
    <s v="B2"/>
    <m/>
    <n v="200"/>
  </r>
  <r>
    <s v="TC_DIENLUC"/>
    <s v="CONG TY TAI CHINH CO PHAN DIEN LUC"/>
    <s v="EVNFC260427"/>
    <x v="2"/>
    <m/>
    <s v="AA"/>
    <d v="2026-05-22T00:00:00"/>
    <m/>
    <s v="B2"/>
    <m/>
    <n v="100"/>
  </r>
  <r>
    <s v="TC_DIENLUC"/>
    <s v="CONG TY TAI CHINH CO PHAN DIEN LUC"/>
    <s v="EVNFC160427"/>
    <x v="2"/>
    <m/>
    <s v="AA"/>
    <d v="2026-05-22T00:00:00"/>
    <m/>
    <s v="B2"/>
    <m/>
    <n v="300"/>
  </r>
  <r>
    <s v="VPVN"/>
    <s v="NGAN HANG TMCP VIET NAM THINH VUONG"/>
    <s v="VPBCD080427"/>
    <x v="2"/>
    <m/>
    <s v="AA"/>
    <d v="2026-04-30T00:00:00"/>
    <m/>
    <s v="Ba3"/>
    <m/>
    <n v="500"/>
  </r>
  <r>
    <s v="SABH"/>
    <s v="NGAN HANG TMCP NAM A"/>
    <s v="NABCD041226"/>
    <x v="6"/>
    <m/>
    <s v="A"/>
    <d v="2026-04-29T00:00:00"/>
    <s v="B+"/>
    <s v="B2"/>
    <m/>
    <n v="1000"/>
  </r>
  <r>
    <s v="SABH"/>
    <s v="NGAN HANG TMCP NAM A"/>
    <s v="NABCD200527"/>
    <x v="2"/>
    <m/>
    <s v="A"/>
    <d v="2026-04-29T00:00:00"/>
    <s v="B+"/>
    <s v="B2"/>
    <m/>
    <n v="2000"/>
  </r>
  <r>
    <s v="SEAV"/>
    <s v="NGAN HANG TMCP DONG NAM A"/>
    <s v="SEACD050826"/>
    <x v="3"/>
    <m/>
    <s v="A"/>
    <d v="2025-09-19T00:00:00"/>
    <m/>
    <s v="Ba3"/>
    <m/>
    <n v="1000"/>
  </r>
  <r>
    <s v="SEAV"/>
    <s v="NGAN HANG TMCP DONG NAM A"/>
    <s v="SEACD040826"/>
    <x v="3"/>
    <m/>
    <s v="A"/>
    <d v="2025-09-19T00:00:00"/>
    <m/>
    <s v="Ba3"/>
    <m/>
    <n v="500"/>
  </r>
  <r>
    <s v="SHBV"/>
    <s v="NGAN HANG TMCP SAI GON HA NOI"/>
    <s v="SHB12503"/>
    <x v="5"/>
    <s v="1-2Y"/>
    <s v="A"/>
    <d v="2026-07-08T00:00:00"/>
    <s v="BB-"/>
    <s v="B1"/>
    <m/>
    <n v="500"/>
  </r>
  <r>
    <s v="ABBV"/>
    <s v="NGAN HANG TMCP AN BINH"/>
    <s v="ABB12M300926"/>
    <x v="0"/>
    <m/>
    <s v="BBB"/>
    <d v="2026-05-30T00:00:00"/>
    <m/>
    <s v="B2"/>
    <m/>
    <n v="271"/>
  </r>
  <r>
    <s v="NABV"/>
    <s v="NGAN HANG TMCP BAC A"/>
    <s v="BAB12603"/>
    <x v="2"/>
    <s v="6M-1Y"/>
    <s v="BBB"/>
    <d v="2026-05-04T00:00:00"/>
    <s v="B+"/>
    <m/>
    <m/>
    <n v="1000"/>
  </r>
  <r>
    <s v="NABV"/>
    <s v="NGAN HANG TMCP BAC A"/>
    <s v="BAB12601"/>
    <x v="2"/>
    <s v="6M-1Y"/>
    <s v="BBB"/>
    <d v="2026-05-04T00:00:00"/>
    <s v="B+"/>
    <m/>
    <m/>
    <n v="2000"/>
  </r>
  <r>
    <s v="OCBV"/>
    <s v="NGAN HANG TMCP PHUONG DONG"/>
    <s v="OCB12515"/>
    <x v="3"/>
    <s v="&lt;1M"/>
    <s v="BBB"/>
    <d v="2026-07-03T00:00:00"/>
    <m/>
    <s v="Ba3"/>
    <m/>
    <n v="2000"/>
  </r>
  <r>
    <s v="OCBV"/>
    <s v="NGAN HANG TMCP PHUONG DONG"/>
    <s v="OCBCD281026"/>
    <x v="0"/>
    <m/>
    <s v="BBB"/>
    <d v="2026-07-03T00:00:00"/>
    <m/>
    <s v="Ba3"/>
    <m/>
    <n v="500"/>
  </r>
  <r>
    <s v="OCBV"/>
    <s v="NGAN HANG TMCP PHUONG DONG"/>
    <s v="OCBCD241126"/>
    <x v="6"/>
    <m/>
    <s v="BBB"/>
    <d v="2026-07-03T00:00:00"/>
    <m/>
    <s v="Ba3"/>
    <m/>
    <n v="2000"/>
  </r>
  <r>
    <s v="EIBV"/>
    <s v="NGAN HANG TMCP XUAT NHAP KHAU VN"/>
    <s v="EIBCD240926"/>
    <x v="0"/>
    <m/>
    <s v="BB"/>
    <d v="2026-06-17T00:00:00"/>
    <m/>
    <m/>
    <s v="B+"/>
    <n v="1000"/>
  </r>
  <r>
    <s v="EIBV"/>
    <s v="NGAN HANG TMCP XUAT NHAP KHAU VN"/>
    <s v="EIBCD291026"/>
    <x v="0"/>
    <m/>
    <s v="BB"/>
    <d v="2026-06-17T00:00:00"/>
    <m/>
    <m/>
    <s v="B+"/>
    <n v="300"/>
  </r>
  <r>
    <s v="TC_SHINSEI"/>
    <s v="CONG TY TAI CHINH TNHH MB SHINSEI"/>
    <s v="MCCD240327"/>
    <x v="2"/>
    <m/>
    <s v="BB"/>
    <d v="2025-03-31T00:00:00"/>
    <s v="B+"/>
    <m/>
    <m/>
    <n v="400"/>
  </r>
  <r>
    <s v="TC_SHINSEI"/>
    <s v="CONG TY TAI CHINH TNHH MB SHINSEI"/>
    <s v="MSF12404"/>
    <x v="6"/>
    <m/>
    <s v="BB"/>
    <d v="2025-03-31T00:00:00"/>
    <s v="B+"/>
    <m/>
    <m/>
    <n v="400"/>
  </r>
  <r>
    <s v="VCCB"/>
    <s v="NGAN HANG TMCP BAN VIET"/>
    <s v="VCCB1Y301026"/>
    <x v="0"/>
    <m/>
    <s v="BB"/>
    <d v="2026-07-06T00:00:00"/>
    <s v="B+"/>
    <m/>
    <m/>
    <n v="250"/>
  </r>
  <r>
    <s v="VIETBANK"/>
    <s v="NGAN HANG TMCP VIET NAM THUONG TIN"/>
    <s v="VBB1Y301126"/>
    <x v="6"/>
    <m/>
    <s v="BB"/>
    <d v="2026-04-16T00:00:00"/>
    <m/>
    <m/>
    <m/>
    <n v="400"/>
  </r>
  <r>
    <s v="VIETBANK"/>
    <s v="NGAN HANG TMCP VIET NAM THUONG TIN"/>
    <s v="VBB1Y130527"/>
    <x v="2"/>
    <m/>
    <s v="BB"/>
    <d v="2026-04-16T00:00:00"/>
    <m/>
    <m/>
    <m/>
    <n v="800"/>
  </r>
  <r>
    <s v="VIETBANK"/>
    <s v="NGAN HANG TMCP VIET NAM THUONG TIN"/>
    <s v="VBB1Y061026"/>
    <x v="0"/>
    <m/>
    <s v="BB"/>
    <d v="2026-04-16T00:00:00"/>
    <m/>
    <m/>
    <m/>
    <n v="500"/>
  </r>
  <r>
    <s v="VIETBANK"/>
    <s v="NGAN HANG TMCP VIET NAM THUONG TIN"/>
    <s v="VBB1Y090926"/>
    <x v="0"/>
    <m/>
    <s v="BB"/>
    <d v="2026-04-16T00:00:00"/>
    <m/>
    <m/>
    <m/>
    <n v="300"/>
  </r>
  <r>
    <s v="MFKR"/>
    <s v="KOMPANION BANK CLOSED JOINT STOCK COMPANY"/>
    <s v="GBA05310727"/>
    <x v="7"/>
    <s v="3-5Y"/>
    <s v="B"/>
    <m/>
    <m/>
    <m/>
    <m/>
    <n v="382.59559615000001"/>
  </r>
  <r>
    <s v="MFKR"/>
    <s v="KOMPANION BANK CLOSED JOINT STOCK COMPANY"/>
    <s v="GBA05310713"/>
    <x v="7"/>
    <s v="3-5Y"/>
    <s v="B"/>
    <m/>
    <m/>
    <m/>
    <m/>
    <n v="191.30842489657999"/>
  </r>
  <r>
    <s v="PVFC"/>
    <s v="NGAN HANG TMCP DAI CHUNG VN"/>
    <s v="PCB12601"/>
    <x v="5"/>
    <s v="1-2Y"/>
    <s v="B"/>
    <d v="2026-07-15T00:00:00"/>
    <m/>
    <m/>
    <m/>
    <n v="1000"/>
  </r>
  <r>
    <s v="SGTT"/>
    <s v="NGAN HANG TMCP SAI GON THUONG TIN"/>
    <s v="STB1Y230926"/>
    <x v="0"/>
    <m/>
    <m/>
    <m/>
    <m/>
    <m/>
    <m/>
    <n v="1000"/>
  </r>
  <r>
    <s v="SGTT"/>
    <s v="NGAN HANG TMCP SAI GON THUONG TIN"/>
    <s v="STBCD061126"/>
    <x v="6"/>
    <m/>
    <m/>
    <m/>
    <m/>
    <m/>
    <m/>
    <n v="1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HCVN"/>
    <s v="CONG TY TAI CHINH TNHH MTV HOME CREDIT VN"/>
    <s v="HCVCD180926"/>
    <s v="1-3M"/>
    <m/>
    <s v="AAA"/>
    <d v="2026-04-16T00:00:00"/>
    <m/>
    <m/>
    <m/>
    <n v="50"/>
    <n v="1.3741354598189282E-3"/>
    <n v="50"/>
    <n v="1.6729953503774968E-3"/>
    <x v="0"/>
    <m/>
  </r>
  <r>
    <s v="HCVN"/>
    <s v="CONG TY TAI CHINH TNHH MTV HOME CREDIT VN"/>
    <s v="HCVCD231026"/>
    <s v="1-3M"/>
    <m/>
    <s v="AAA"/>
    <d v="2026-04-16T00:00:00"/>
    <m/>
    <m/>
    <m/>
    <n v="200"/>
    <n v="6.8706772990946409E-3"/>
    <n v="200"/>
    <n v="8.3649767518874842E-3"/>
    <x v="0"/>
    <m/>
  </r>
  <r>
    <s v="HCVN"/>
    <s v="CONG TY TAI CHINH TNHH MTV HOME CREDIT VN"/>
    <s v="HCV12602"/>
    <s v="2-3Y"/>
    <m/>
    <s v="AAA"/>
    <d v="2026-04-16T00:00:00"/>
    <m/>
    <m/>
    <m/>
    <n v="1000"/>
    <n v="3.4353386495473204E-2"/>
    <n v="1000"/>
    <n v="4.1824883759437423E-2"/>
    <x v="1"/>
    <m/>
  </r>
  <r>
    <s v="HCVN"/>
    <s v="CONG TY TAI CHINH TNHH MTV HOME CREDIT VN"/>
    <s v="HCV12502"/>
    <s v="6M-1Y"/>
    <m/>
    <s v="AAA"/>
    <d v="2026-04-16T00:00:00"/>
    <m/>
    <m/>
    <m/>
    <n v="400"/>
    <n v="4.5346470174024628E-2"/>
    <n v="400"/>
    <n v="5.5208846562457399E-2"/>
    <x v="2"/>
    <m/>
  </r>
  <r>
    <s v="HCVN"/>
    <s v="CONG TY TAI CHINH TNHH MTV HOME CREDIT VN"/>
    <s v="HCVCD260826"/>
    <s v="&lt;1M"/>
    <m/>
    <s v="AAA"/>
    <d v="2026-04-16T00:00:00"/>
    <m/>
    <m/>
    <m/>
    <n v="350"/>
    <n v="5.4965418392757127E-2"/>
    <n v="350"/>
    <n v="6.6919814015099874E-2"/>
    <x v="3"/>
    <m/>
  </r>
  <r>
    <s v="HCVN"/>
    <s v="CONG TY TAI CHINH TNHH MTV HOME CREDIT VN"/>
    <s v="HCVNCD190427"/>
    <s v="6M-1Y"/>
    <m/>
    <s v="AAA"/>
    <d v="2026-04-16T00:00:00"/>
    <m/>
    <m/>
    <m/>
    <n v="400"/>
    <n v="6.5958502071308558E-2"/>
    <n v="400"/>
    <n v="8.0303776818119843E-2"/>
    <x v="2"/>
    <m/>
  </r>
  <r>
    <s v="MCSB"/>
    <s v="NGAN HANG TMCP QUAN DOI"/>
    <s v="MBB1CD200826"/>
    <s v="&lt;1M"/>
    <m/>
    <s v="AAA"/>
    <d v="2026-04-24T00:00:00"/>
    <s v="BB"/>
    <s v="Ba2"/>
    <m/>
    <n v="500"/>
    <n v="7.9699856669497846E-2"/>
    <n v="500"/>
    <n v="9.7033730321894815E-2"/>
    <x v="3"/>
    <m/>
  </r>
  <r>
    <s v="MCSB"/>
    <s v="NGAN HANG TMCP QUAN DOI"/>
    <s v="MBBCD040227"/>
    <s v="6M-1Y"/>
    <m/>
    <s v="AAA"/>
    <d v="2026-04-24T00:00:00"/>
    <s v="BB"/>
    <s v="Ba2"/>
    <m/>
    <n v="350"/>
    <n v="8.9318804888230338E-2"/>
    <n v="350"/>
    <n v="0.1087446977745373"/>
    <x v="2"/>
    <m/>
  </r>
  <r>
    <s v="MCSB"/>
    <s v="NGAN HANG TMCP QUAN DOI"/>
    <s v="MBBOND2027"/>
    <s v="1-2Y"/>
    <m/>
    <s v="AAA"/>
    <d v="2026-04-24T00:00:00"/>
    <s v="BB"/>
    <s v="Ba2"/>
    <m/>
    <n v="500"/>
    <n v="0.10306015948641963"/>
    <n v="500"/>
    <n v="0.12547465127831225"/>
    <x v="4"/>
    <m/>
  </r>
  <r>
    <s v="TCBV-HO"/>
    <s v="NGAN HANG TMCP KY THUONG VN"/>
    <s v="TCB12603"/>
    <s v="2-3Y"/>
    <s v="6M-1Y"/>
    <s v="AAA"/>
    <d v="2026-07-08T00:00:00"/>
    <m/>
    <m/>
    <m/>
    <n v="2000"/>
    <n v="0.15802557787917676"/>
    <n v="2000"/>
    <n v="0.19239446529341214"/>
    <x v="2"/>
    <m/>
  </r>
  <r>
    <s v="VBAH"/>
    <s v="NGAN HANG NONG NGHIEP VA PHAT TRIEN NONG THON"/>
    <s v="VBA12503"/>
    <s v="6M-1Y"/>
    <m/>
    <s v="AAA"/>
    <d v="2026-06-30T00:00:00"/>
    <m/>
    <s v="Ba2"/>
    <m/>
    <n v="3000"/>
    <n v="0.24047370546831245"/>
    <n v="3000"/>
    <n v="0.29277418631606195"/>
    <x v="2"/>
    <m/>
  </r>
  <r>
    <s v="ACBV"/>
    <s v="NGAN HANG TMCP A CHAU"/>
    <s v="ACBCD090427"/>
    <s v="6M-1Y"/>
    <m/>
    <s v="AA"/>
    <d v="2026-06-30T00:00:00"/>
    <s v="BB-"/>
    <s v="Ba3"/>
    <m/>
    <n v="176"/>
    <n v="0.24531066228687509"/>
    <n v="176"/>
    <n v="0.29866312994939076"/>
    <x v="2"/>
    <m/>
  </r>
  <r>
    <s v="HDBV"/>
    <s v="NGAN HANG TMCP PHAT TRIEN TP  HO CHI MINH"/>
    <s v="HDB125011"/>
    <s v="5-7Y"/>
    <s v="6M-1Y"/>
    <s v="AA"/>
    <d v="2025-12-31T00:00:00"/>
    <m/>
    <s v="B1"/>
    <m/>
    <n v="397.61059999999998"/>
    <n v="0.25623807878007271"/>
    <n v="397.61059999999998"/>
    <n v="0.3119671436506069"/>
    <x v="2"/>
    <m/>
  </r>
  <r>
    <s v="HDBV"/>
    <s v="NGAN HANG TMCP PHAT TRIEN TP  HO CHI MINH"/>
    <s v="HDB1CD031126"/>
    <s v="3-6M"/>
    <m/>
    <s v="AA"/>
    <d v="2025-12-31T00:00:00"/>
    <m/>
    <s v="B1"/>
    <m/>
    <n v="1000"/>
    <n v="0.28372078797645128"/>
    <n v="1000"/>
    <n v="0.34542705065815682"/>
    <x v="5"/>
    <m/>
  </r>
  <r>
    <s v="HDBV"/>
    <s v="NGAN HANG TMCP PHAT TRIEN TP  HO CHI MINH"/>
    <s v="HDB12M261126"/>
    <s v="3-6M"/>
    <m/>
    <s v="AA"/>
    <d v="2025-12-31T00:00:00"/>
    <m/>
    <s v="B1"/>
    <m/>
    <n v="1500"/>
    <n v="0.32494485177101912"/>
    <n v="0"/>
    <n v="0.34542705065815682"/>
    <x v="5"/>
    <m/>
  </r>
  <r>
    <s v="LVBT"/>
    <s v="NGAN HANG TMCP LOC PHAT VN"/>
    <s v="LPB12407"/>
    <s v="5-7Y"/>
    <s v="1-3M"/>
    <s v="AA"/>
    <d v="2026-06-26T00:00:00"/>
    <m/>
    <s v="Ba3"/>
    <m/>
    <n v="1000"/>
    <n v="0.35242756096739769"/>
    <n v="1000"/>
    <n v="0.37888695766570674"/>
    <x v="0"/>
    <m/>
  </r>
  <r>
    <s v="LVBT"/>
    <s v="NGAN HANG TMCP LOC PHAT VN"/>
    <s v="LPBCD210826"/>
    <s v="&lt;1M"/>
    <m/>
    <s v="AA"/>
    <d v="2026-06-26T00:00:00"/>
    <m/>
    <s v="Ba3"/>
    <m/>
    <n v="1500"/>
    <n v="0.39365162476196552"/>
    <n v="1500"/>
    <n v="0.42907681817703164"/>
    <x v="3"/>
    <m/>
  </r>
  <r>
    <s v="TC_DIENLUC"/>
    <s v="CONG TY TAI CHINH CO PHAN DIEN LUC"/>
    <s v="EVNFC170527"/>
    <s v="6M-1Y"/>
    <m/>
    <s v="AA"/>
    <d v="2026-05-22T00:00:00"/>
    <m/>
    <s v="B2"/>
    <m/>
    <n v="268"/>
    <n v="0.40101699082659498"/>
    <n v="268"/>
    <n v="0.43804407325505501"/>
    <x v="2"/>
    <m/>
  </r>
  <r>
    <s v="TC_DIENLUC"/>
    <s v="CONG TY TAI CHINH CO PHAN DIEN LUC"/>
    <s v="EVNFC010227"/>
    <s v="6M-1Y"/>
    <m/>
    <s v="AA"/>
    <d v="2026-05-22T00:00:00"/>
    <m/>
    <s v="B2"/>
    <m/>
    <n v="200"/>
    <n v="0.4065135326658707"/>
    <n v="200"/>
    <n v="0.44473605465656502"/>
    <x v="2"/>
    <m/>
  </r>
  <r>
    <s v="TC_DIENLUC"/>
    <s v="CONG TY TAI CHINH CO PHAN DIEN LUC"/>
    <s v="EVNFC260427"/>
    <s v="6M-1Y"/>
    <m/>
    <s v="AA"/>
    <d v="2026-05-22T00:00:00"/>
    <m/>
    <s v="B2"/>
    <m/>
    <n v="100"/>
    <n v="0.40926180358550857"/>
    <n v="100"/>
    <n v="0.44808204535731999"/>
    <x v="2"/>
    <m/>
  </r>
  <r>
    <s v="TC_DIENLUC"/>
    <s v="CONG TY TAI CHINH CO PHAN DIEN LUC"/>
    <s v="EVNFC160427"/>
    <s v="6M-1Y"/>
    <m/>
    <s v="AA"/>
    <d v="2026-05-22T00:00:00"/>
    <m/>
    <s v="B2"/>
    <m/>
    <n v="300"/>
    <n v="0.41750661634442215"/>
    <n v="300"/>
    <n v="0.45812001745958497"/>
    <x v="2"/>
    <m/>
  </r>
  <r>
    <s v="VPVN"/>
    <s v="NGAN HANG TMCP VIET NAM THINH VUONG"/>
    <s v="VPBCD080427"/>
    <s v="6M-1Y"/>
    <m/>
    <s v="AA"/>
    <d v="2026-04-30T00:00:00"/>
    <m/>
    <s v="Ba3"/>
    <m/>
    <n v="500"/>
    <n v="0.43124797094261141"/>
    <n v="500"/>
    <n v="0.47484997096335996"/>
    <x v="2"/>
    <m/>
  </r>
  <r>
    <s v="SABH"/>
    <s v="NGAN HANG TMCP NAM A"/>
    <s v="NABCD041226"/>
    <s v="3-6M"/>
    <m/>
    <s v="A"/>
    <d v="2026-04-29T00:00:00"/>
    <s v="B+"/>
    <s v="B2"/>
    <m/>
    <n v="1000"/>
    <n v="0.45873068013898999"/>
    <n v="1000"/>
    <n v="0.50830987797090987"/>
    <x v="5"/>
    <m/>
  </r>
  <r>
    <s v="SABH"/>
    <s v="NGAN HANG TMCP NAM A"/>
    <s v="NABCD200527"/>
    <s v="6M-1Y"/>
    <m/>
    <s v="A"/>
    <d v="2026-04-29T00:00:00"/>
    <s v="B+"/>
    <s v="B2"/>
    <m/>
    <n v="2000"/>
    <n v="0.51369609853174714"/>
    <n v="2000"/>
    <n v="0.57522969198600971"/>
    <x v="2"/>
    <m/>
  </r>
  <r>
    <s v="SEAV"/>
    <s v="NGAN HANG TMCP DONG NAM A"/>
    <s v="SEACD050826"/>
    <s v="&lt;1M"/>
    <m/>
    <s v="A"/>
    <d v="2025-09-19T00:00:00"/>
    <m/>
    <s v="Ba3"/>
    <m/>
    <n v="1000"/>
    <n v="0.54117880772812565"/>
    <n v="1000"/>
    <n v="0.60868959899355968"/>
    <x v="3"/>
    <m/>
  </r>
  <r>
    <s v="SEAV"/>
    <s v="NGAN HANG TMCP DONG NAM A"/>
    <s v="SEACD040826"/>
    <s v="&lt;1M"/>
    <m/>
    <s v="A"/>
    <d v="2025-09-19T00:00:00"/>
    <m/>
    <s v="Ba3"/>
    <m/>
    <n v="500"/>
    <n v="0.55492016232631491"/>
    <n v="500"/>
    <n v="0.62541955249733461"/>
    <x v="3"/>
    <m/>
  </r>
  <r>
    <s v="SHBV"/>
    <s v="NGAN HANG TMCP SAI GON HA NOI"/>
    <s v="SHB12503"/>
    <s v="5-7Y"/>
    <s v="1-2Y"/>
    <s v="A"/>
    <d v="2026-07-08T00:00:00"/>
    <s v="BB-"/>
    <s v="B1"/>
    <m/>
    <n v="500"/>
    <n v="0.56866151692450417"/>
    <n v="500"/>
    <n v="0.64214950600110954"/>
    <x v="4"/>
    <m/>
  </r>
  <r>
    <s v="ABBV"/>
    <s v="NGAN HANG TMCP AN BINH"/>
    <s v="ABB12M300926"/>
    <s v="1-3M"/>
    <m/>
    <s v="BBB"/>
    <d v="2026-05-30T00:00:00"/>
    <m/>
    <s v="B2"/>
    <m/>
    <n v="271"/>
    <n v="0.5761093311167228"/>
    <n v="271"/>
    <n v="0.65121714080015558"/>
    <x v="0"/>
    <m/>
  </r>
  <r>
    <s v="NABV"/>
    <s v="NGAN HANG TMCP BAC A"/>
    <s v="BAB12603"/>
    <s v="6M-1Y"/>
    <s v="6M-1Y"/>
    <s v="BBB"/>
    <d v="2026-05-04T00:00:00"/>
    <s v="B+"/>
    <m/>
    <m/>
    <n v="1000"/>
    <n v="0.60359204031310132"/>
    <n v="0"/>
    <n v="0.65121714080015558"/>
    <x v="2"/>
    <m/>
  </r>
  <r>
    <s v="NABV"/>
    <s v="NGAN HANG TMCP BAC A"/>
    <s v="BAB12601"/>
    <s v="6M-1Y"/>
    <s v="6M-1Y"/>
    <s v="BBB"/>
    <d v="2026-05-04T00:00:00"/>
    <s v="B+"/>
    <m/>
    <m/>
    <n v="2000"/>
    <n v="0.65855745870585847"/>
    <n v="0"/>
    <n v="0.65121714080015558"/>
    <x v="2"/>
    <m/>
  </r>
  <r>
    <s v="OCBV"/>
    <s v="NGAN HANG TMCP PHUONG DONG"/>
    <s v="OCB12515"/>
    <s v="&lt;1M"/>
    <s v="&lt;1M"/>
    <s v="BBB"/>
    <d v="2026-07-03T00:00:00"/>
    <m/>
    <s v="Ba3"/>
    <m/>
    <n v="2000"/>
    <n v="0.71352287709861562"/>
    <n v="2000"/>
    <n v="0.71813695481525541"/>
    <x v="3"/>
    <m/>
  </r>
  <r>
    <s v="OCBV"/>
    <s v="NGAN HANG TMCP PHUONG DONG"/>
    <s v="OCBCD281026"/>
    <s v="1-3M"/>
    <m/>
    <s v="BBB"/>
    <d v="2026-07-03T00:00:00"/>
    <m/>
    <s v="Ba3"/>
    <m/>
    <n v="500"/>
    <n v="0.72726423169680487"/>
    <n v="500"/>
    <n v="0.73486690831903034"/>
    <x v="0"/>
    <m/>
  </r>
  <r>
    <s v="OCBV"/>
    <s v="NGAN HANG TMCP PHUONG DONG"/>
    <s v="OCBCD241126"/>
    <s v="3-6M"/>
    <m/>
    <s v="BBB"/>
    <d v="2026-07-03T00:00:00"/>
    <m/>
    <s v="Ba3"/>
    <m/>
    <n v="2000"/>
    <n v="0.78222965008956202"/>
    <n v="0"/>
    <n v="0.73486690831903034"/>
    <x v="5"/>
    <m/>
  </r>
  <r>
    <s v="EIBV"/>
    <s v="NGAN HANG TMCP XUAT NHAP KHAU VN"/>
    <s v="EIBCD240926"/>
    <s v="1-3M"/>
    <m/>
    <s v="BB"/>
    <d v="2026-06-17T00:00:00"/>
    <m/>
    <m/>
    <s v="B+"/>
    <n v="1000"/>
    <n v="0.80971235928594054"/>
    <n v="1000"/>
    <n v="0.76832681532658031"/>
    <x v="0"/>
    <m/>
  </r>
  <r>
    <s v="EIBV"/>
    <s v="NGAN HANG TMCP XUAT NHAP KHAU VN"/>
    <s v="EIBCD291026"/>
    <s v="1-3M"/>
    <m/>
    <s v="BB"/>
    <d v="2026-06-17T00:00:00"/>
    <m/>
    <m/>
    <s v="B+"/>
    <n v="300"/>
    <n v="0.81795717204485408"/>
    <n v="300"/>
    <n v="0.7783647874288453"/>
    <x v="0"/>
    <m/>
  </r>
  <r>
    <s v="TC_SHINSEI"/>
    <s v="CONG TY TAI CHINH TNHH MB SHINSEI"/>
    <s v="MCCD240327"/>
    <s v="6M-1Y"/>
    <m/>
    <s v="BB"/>
    <d v="2025-03-31T00:00:00"/>
    <s v="B+"/>
    <m/>
    <m/>
    <n v="400"/>
    <n v="0.82895025572340553"/>
    <n v="400"/>
    <n v="0.79174875023186531"/>
    <x v="2"/>
    <m/>
  </r>
  <r>
    <s v="TC_SHINSEI"/>
    <s v="CONG TY TAI CHINH TNHH MB SHINSEI"/>
    <s v="MSF12404"/>
    <s v="3-6M"/>
    <m/>
    <s v="BB"/>
    <d v="2025-03-31T00:00:00"/>
    <s v="B+"/>
    <m/>
    <m/>
    <n v="400"/>
    <n v="0.83994333940195698"/>
    <n v="400"/>
    <n v="0.80513271303488532"/>
    <x v="5"/>
    <m/>
  </r>
  <r>
    <s v="VCCB"/>
    <s v="NGAN HANG TMCP BAN VIET"/>
    <s v="VCCB1Y301026"/>
    <s v="1-3M"/>
    <m/>
    <s v="BB"/>
    <d v="2026-07-06T00:00:00"/>
    <s v="B+"/>
    <m/>
    <m/>
    <n v="250"/>
    <n v="0.84681401670105161"/>
    <n v="250"/>
    <n v="0.81349768978677284"/>
    <x v="0"/>
    <m/>
  </r>
  <r>
    <s v="VIETBANK"/>
    <s v="NGAN HANG TMCP VIET NAM THUONG TIN"/>
    <s v="VBB1Y301126"/>
    <s v="3-6M"/>
    <m/>
    <s v="BB"/>
    <d v="2026-04-16T00:00:00"/>
    <m/>
    <m/>
    <m/>
    <n v="400"/>
    <n v="0.85780710037960306"/>
    <n v="400"/>
    <n v="0.82688165258979285"/>
    <x v="5"/>
    <m/>
  </r>
  <r>
    <s v="VIETBANK"/>
    <s v="NGAN HANG TMCP VIET NAM THUONG TIN"/>
    <s v="VBB1Y130527"/>
    <s v="6M-1Y"/>
    <m/>
    <s v="BB"/>
    <d v="2026-04-16T00:00:00"/>
    <m/>
    <m/>
    <m/>
    <n v="800"/>
    <n v="0.87979326773670596"/>
    <n v="800"/>
    <n v="0.85364957819583276"/>
    <x v="2"/>
    <m/>
  </r>
  <r>
    <s v="VIETBANK"/>
    <s v="NGAN HANG TMCP VIET NAM THUONG TIN"/>
    <s v="VBB1Y061026"/>
    <s v="1-3M"/>
    <m/>
    <s v="BB"/>
    <d v="2026-04-16T00:00:00"/>
    <m/>
    <m/>
    <m/>
    <n v="500"/>
    <n v="0.89353462233489522"/>
    <n v="500"/>
    <n v="0.87037953169960769"/>
    <x v="0"/>
    <m/>
  </r>
  <r>
    <s v="VIETBANK"/>
    <s v="NGAN HANG TMCP VIET NAM THUONG TIN"/>
    <s v="VBB1Y090926"/>
    <s v="1-3M"/>
    <m/>
    <s v="BB"/>
    <d v="2026-04-16T00:00:00"/>
    <m/>
    <m/>
    <m/>
    <n v="300"/>
    <n v="0.90177943509380876"/>
    <n v="300"/>
    <n v="0.88041750380187267"/>
    <x v="0"/>
    <m/>
  </r>
  <r>
    <s v="MFKR"/>
    <s v="KOMPANION BANK CLOSED JOINT STOCK COMPANY"/>
    <s v="GBA05310727"/>
    <s v="3-5Y"/>
    <s v="3-5Y"/>
    <s v="B"/>
    <m/>
    <m/>
    <m/>
    <m/>
    <n v="382.59559615000001"/>
    <n v="0.91229419860261429"/>
    <n v="382.59559615000001"/>
    <n v="0.89321911687054978"/>
    <x v="6"/>
    <m/>
  </r>
  <r>
    <s v="MFKR"/>
    <s v="KOMPANION BANK CLOSED JOINT STOCK COMPANY"/>
    <s v="GBA05310713"/>
    <s v="3-5Y"/>
    <s v="3-5Y"/>
    <s v="B"/>
    <m/>
    <m/>
    <m/>
    <m/>
    <n v="191.30842489657999"/>
    <n v="0.91755187241086422"/>
    <n v="191.30842489657999"/>
    <n v="0.8996202789773502"/>
    <x v="6"/>
    <m/>
  </r>
  <r>
    <s v="PVFC"/>
    <s v="NGAN HANG TMCP DAI CHUNG VN"/>
    <s v="PCB12601"/>
    <s v="5-7Y"/>
    <s v="1-2Y"/>
    <s v="B"/>
    <d v="2026-07-15T00:00:00"/>
    <m/>
    <m/>
    <m/>
    <n v="1000"/>
    <n v="0.94503458160724274"/>
    <n v="1000"/>
    <n v="0.93308018598490017"/>
    <x v="4"/>
    <m/>
  </r>
  <r>
    <s v="SGTT"/>
    <s v="NGAN HANG TMCP SAI GON THUONG TIN"/>
    <s v="STB1Y230926"/>
    <s v="1-3M"/>
    <m/>
    <m/>
    <m/>
    <m/>
    <m/>
    <m/>
    <n v="1000"/>
    <n v="0.97251729080362126"/>
    <n v="1000"/>
    <n v="0.96654009299245014"/>
    <x v="0"/>
    <m/>
  </r>
  <r>
    <s v="SGTT"/>
    <s v="NGAN HANG TMCP SAI GON THUONG TIN"/>
    <s v="STBCD061126"/>
    <s v="3-6M"/>
    <m/>
    <m/>
    <m/>
    <m/>
    <m/>
    <m/>
    <n v="1000"/>
    <n v="0.99999999999999978"/>
    <n v="1000"/>
    <n v="1"/>
    <x v="5"/>
    <m/>
  </r>
  <r>
    <s v="Total"/>
    <m/>
    <m/>
    <m/>
    <m/>
    <m/>
    <m/>
    <m/>
    <m/>
    <m/>
    <n v="36386.514621046583"/>
    <m/>
    <n v="29886.514621046579"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  <r>
    <m/>
    <m/>
    <m/>
    <m/>
    <m/>
    <m/>
    <m/>
    <m/>
    <m/>
    <m/>
    <m/>
    <m/>
    <m/>
    <m/>
    <x v="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6836F1-958C-4E40-A1B5-35C077920E13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M1:AN10" firstHeaderRow="1" firstDataRow="1" firstDataCol="1"/>
  <pivotFields count="11">
    <pivotField showAll="0"/>
    <pivotField showAll="0"/>
    <pivotField showAll="0"/>
    <pivotField axis="axisRow" showAll="0">
      <items count="9">
        <item x="3"/>
        <item x="4"/>
        <item x="0"/>
        <item x="1"/>
        <item x="6"/>
        <item x="5"/>
        <item x="2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dataField="1" numFmtId="4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Total Amount" fld="10" baseField="0" baseItem="0" numFmtId="41"/>
  </dataFields>
  <formats count="12"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3" type="button" dataOnly="0" labelOnly="1" outline="0" axis="axisRow" fieldPosition="0"/>
    </format>
    <format dxfId="87">
      <pivotArea dataOnly="0" labelOnly="1" fieldPosition="0">
        <references count="1">
          <reference field="3" count="0"/>
        </references>
      </pivotArea>
    </format>
    <format dxfId="86">
      <pivotArea dataOnly="0" labelOnly="1" grandRow="1" outline="0" fieldPosition="0"/>
    </format>
    <format dxfId="85">
      <pivotArea dataOnly="0" labelOnly="1" outline="0" axis="axisValues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3" type="button" dataOnly="0" labelOnly="1" outline="0" axis="axisRow" fieldPosition="0"/>
    </format>
    <format dxfId="81">
      <pivotArea dataOnly="0" labelOnly="1" fieldPosition="0">
        <references count="1">
          <reference field="3" count="0"/>
        </references>
      </pivotArea>
    </format>
    <format dxfId="80">
      <pivotArea dataOnly="0" labelOnly="1" grandRow="1" outline="0" fieldPosition="0"/>
    </format>
    <format dxfId="7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F8E3A-2EDC-4CC2-B562-E44D63E8DC1E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P1:AQ9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1" showAll="0"/>
    <pivotField showAll="0"/>
    <pivotField showAll="0"/>
    <pivotField showAll="0"/>
    <pivotField axis="axisRow" showAll="0">
      <items count="9">
        <item x="3"/>
        <item x="4"/>
        <item x="0"/>
        <item x="5"/>
        <item x="2"/>
        <item h="1" x="7"/>
        <item x="1"/>
        <item x="6"/>
        <item t="default"/>
      </items>
    </pivotField>
    <pivotField showAll="0"/>
  </pivotFields>
  <rowFields count="1">
    <field x="14"/>
  </rowFields>
  <row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rowItems>
  <colItems count="1">
    <i/>
  </colItems>
  <dataFields count="1">
    <dataField name="Sum of Total Amount" fld="10" baseField="0" baseItem="0" numFmtId="41"/>
  </dataFields>
  <formats count="12">
    <format dxfId="102">
      <pivotArea type="all" dataOnly="0" outline="0" fieldPosition="0"/>
    </format>
    <format dxfId="101">
      <pivotArea outline="0" collapsedLevelsAreSubtotals="1" fieldPosition="0"/>
    </format>
    <format dxfId="100">
      <pivotArea field="14" type="button" dataOnly="0" labelOnly="1" outline="0" axis="axisRow" fieldPosition="0"/>
    </format>
    <format dxfId="99">
      <pivotArea dataOnly="0" labelOnly="1" fieldPosition="0">
        <references count="1">
          <reference field="14" count="0"/>
        </references>
      </pivotArea>
    </format>
    <format dxfId="98">
      <pivotArea dataOnly="0" labelOnly="1" grandRow="1" outline="0" fieldPosition="0"/>
    </format>
    <format dxfId="97">
      <pivotArea dataOnly="0" labelOnly="1" outline="0" axis="axisValues" fieldPosition="0"/>
    </format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14" type="button" dataOnly="0" labelOnly="1" outline="0" axis="axisRow" fieldPosition="0"/>
    </format>
    <format dxfId="93">
      <pivotArea dataOnly="0" labelOnly="1" fieldPosition="0">
        <references count="1">
          <reference field="14" count="0"/>
        </references>
      </pivotArea>
    </format>
    <format dxfId="92">
      <pivotArea dataOnly="0" labelOnly="1" grandRow="1" outline="0" fieldPosition="0"/>
    </format>
    <format dxfId="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12" xr16:uid="{F247E24F-E59B-493A-9ACD-170FCDEC9013}" autoFormatId="16" applyNumberFormats="0" applyBorderFormats="0" applyFontFormats="0" applyPatternFormats="0" applyAlignmentFormats="0" applyWidthHeightFormats="0">
  <queryTableRefresh nextId="20">
    <queryTableFields count="7">
      <queryTableField id="12" name="Issuer" tableColumnId="1"/>
      <queryTableField id="13" name="Total Amount" tableColumnId="2"/>
      <queryTableField id="3" name="Rating" tableColumnId="3"/>
      <queryTableField id="4" name="Review Date" tableColumnId="4"/>
      <queryTableField id="16" name="Fitch Rating" tableColumnId="5"/>
      <queryTableField id="17" name="Moody Rating" tableColumnId="6"/>
      <queryTableField id="18" name="S&amp;P Rating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87C2254-F0D7-4CD6-8A75-337988FBE67B}" autoFormatId="16" applyNumberFormats="0" applyBorderFormats="0" applyFontFormats="0" applyPatternFormats="0" applyAlignmentFormats="0" applyWidthHeightFormats="0">
  <queryTableRefresh nextId="15">
    <queryTableFields count="11">
      <queryTableField id="1" name="Issuer" tableColumnId="1"/>
      <queryTableField id="2" name="Issuer_Name" tableColumnId="2"/>
      <queryTableField id="3" name="Bond_Code" tableColumnId="3"/>
      <queryTableField id="4" name="Tenor" tableColumnId="4"/>
      <queryTableField id="5" name="Tenor (c/p)" tableColumnId="5"/>
      <queryTableField id="6" name="Rating" tableColumnId="6"/>
      <queryTableField id="7" name="Review Date" tableColumnId="7"/>
      <queryTableField id="8" name="Fitch Rating" tableColumnId="8"/>
      <queryTableField id="9" name="Moody Rating" tableColumnId="9"/>
      <queryTableField id="10" name="S&amp;P Rating" tableColumnId="10"/>
      <queryTableField id="12" name="Total Amount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7" xr16:uid="{3595704E-549F-40C9-BDB5-9CD04BF0A113}" autoFormatId="16" applyNumberFormats="0" applyBorderFormats="0" applyFontFormats="0" applyPatternFormats="0" applyAlignmentFormats="0" applyWidthHeightFormats="0">
  <queryTableRefresh nextId="8">
    <queryTableFields count="6">
      <queryTableField id="1" name="Month" tableColumnId="1"/>
      <queryTableField id="2" name="Year" tableColumnId="2"/>
      <queryTableField id="6" name="CptyName" tableColumnId="6"/>
      <queryTableField id="3" name="CptyCode" tableColumnId="3"/>
      <queryTableField id="4" name="FiRating" tableColumnId="4"/>
      <queryTableField id="5" name="FiRatingDa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BB4B8F87-97AB-48C2-A4D3-43217616C394}" autoFormatId="16" applyNumberFormats="0" applyBorderFormats="0" applyFontFormats="0" applyPatternFormats="0" applyAlignmentFormats="0" applyWidthHeightFormats="0">
  <queryTableRefresh nextId="15" unboundColumnsRight="3">
    <queryTableFields count="14">
      <queryTableField id="1" name="CPTY_NAME" tableColumnId="1"/>
      <queryTableField id="2" name="CPTY_CODE_ISSUER" tableColumnId="2"/>
      <queryTableField id="3" name="CPTY_TYPE" tableColumnId="3"/>
      <queryTableField id="4" name="FI_RATING" tableColumnId="4"/>
      <queryTableField id="5" name="FI_RATING_DATE" tableColumnId="5"/>
      <queryTableField id="6" name="FITCH_RATING" tableColumnId="6"/>
      <queryTableField id="7" name="FITCH_RATING_DATE" tableColumnId="7"/>
      <queryTableField id="8" name="MOODY_RATING" tableColumnId="8"/>
      <queryTableField id="9" name="MOODY_RATING_DATE" tableColumnId="9"/>
      <queryTableField id="10" name="SP_RATING" tableColumnId="10"/>
      <queryTableField id="11" name="SP_RATING_DATE" tableColumnId="11"/>
      <queryTableField id="12" dataBound="0" tableColumnId="12"/>
      <queryTableField id="13" dataBound="0" tableColumnId="13"/>
      <queryTableField id="14" dataBound="0" tableColumnId="1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4BB12EB-3F28-47D7-9103-BA5A527F7DBA}" autoFormatId="16" applyNumberFormats="0" applyBorderFormats="0" applyFontFormats="0" applyPatternFormats="0" applyAlignmentFormats="0" applyWidthHeightFormats="0">
  <queryTableRefresh nextId="32">
    <queryTableFields count="31">
      <queryTableField id="1" name="Currency" tableColumnId="1"/>
      <queryTableField id="2" name="Duration_range" tableColumnId="2"/>
      <queryTableField id="3" name="Security Name" tableColumnId="3"/>
      <queryTableField id="4" name="Type of Instr." tableColumnId="4"/>
      <queryTableField id="5" name="Mat. Date" tableColumnId="5"/>
      <queryTableField id="6" name="Open Pos" tableColumnId="6"/>
      <queryTableField id="7" name="Price" tableColumnId="7"/>
      <queryTableField id="8" name="Clean Price" tableColumnId="8"/>
      <queryTableField id="9" name="QUANTITY" tableColumnId="9"/>
      <queryTableField id="10" name="Nominal" tableColumnId="10"/>
      <queryTableField id="11" name="Avg Price" tableColumnId="11"/>
      <queryTableField id="12" name="MARKET_VALUE" tableColumnId="12"/>
      <queryTableField id="13" name="Cpn Rate" tableColumnId="13"/>
      <queryTableField id="14" name="Accr Int" tableColumnId="14"/>
      <queryTableField id="15" name="Cpn Cumul" tableColumnId="15"/>
      <queryTableField id="16" name="Cpn Reinvested" tableColumnId="16"/>
      <queryTableField id="17" name="Cost of Carry" tableColumnId="17"/>
      <queryTableField id="18" name="Yield Mat" tableColumnId="18"/>
      <queryTableField id="19" name="Mod Dur" tableColumnId="19"/>
      <queryTableField id="20" name="DURATION" tableColumnId="20"/>
      <queryTableField id="21" name="Cnvx." tableColumnId="21"/>
      <queryTableField id="22" name="Cnvx. Value" tableColumnId="22"/>
      <queryTableField id="23" name="BPV (K)" tableColumnId="23"/>
      <queryTableField id="24" name="Theta (K)" tableColumnId="24"/>
      <queryTableField id="25" name="REALIZED_CUR" tableColumnId="25"/>
      <queryTableField id="26" name="UNREALIZED_CUR" tableColumnId="26"/>
      <queryTableField id="27" name="P/L Clean Price" tableColumnId="27"/>
      <queryTableField id="28" name="P/L Currency" tableColumnId="28"/>
      <queryTableField id="29" name="P/L Local" tableColumnId="29"/>
      <queryTableField id="30" name="P/L Report" tableColumnId="30"/>
      <queryTableField id="31" name="avg yield" tableColumnId="3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CAB3E9-D126-4694-83C4-22FD84872580}" name="Input" displayName="Input" ref="A1:C11" totalsRowShown="0" headerRowDxfId="134" dataDxfId="133" tableBorderDxfId="132">
  <tableColumns count="3">
    <tableColumn id="1" xr3:uid="{432496CE-A90E-4BDE-847F-AADA3B9D3428}" name="STT" dataDxfId="131"/>
    <tableColumn id="3" xr3:uid="{9E65356A-DE9D-4487-BE6B-643F897A376E}" name="Indicator" dataDxfId="130"/>
    <tableColumn id="2" xr3:uid="{31CDF140-A520-474A-A7F6-147E7805DC74}" name="Values" dataDxfId="129">
      <calculatedColumnFormula>"\\filesrv01.msb.com.vn\06.Khoi Quan Ly Rui Ro\02.Trung Tam QLRR Thi Truong\02.Phong GSRRTT\05.Report\Theo doi\BOND\01.Bond Report\01.Daily\"&amp;TEXT(RPT,"yyyy.mm.dd")&amp;"\00.Input\00.Raw_Data.xlsm"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5ECFCF-A29E-4DCD-AA03-58F29E272A24}" name="Portfolio_by_issuer" displayName="Portfolio_by_issuer" ref="K1:Q24" tableType="queryTable" totalsRowCount="1" headerRowDxfId="78" dataDxfId="76" totalsRowDxfId="74" headerRowBorderDxfId="77" tableBorderDxfId="75">
  <tableColumns count="7">
    <tableColumn id="1" xr3:uid="{09841DDD-293D-4366-9284-4D19273A23F1}" uniqueName="1" name="Issuer" totalsRowLabel="Total" queryTableFieldId="12" dataDxfId="73" totalsRowDxfId="72"/>
    <tableColumn id="2" xr3:uid="{461D3288-3A16-41EC-B675-E7ECD5C7C098}" uniqueName="2" name="Total Amount" totalsRowFunction="sum" queryTableFieldId="13" dataDxfId="71" totalsRowDxfId="70" dataCellStyle="Comma [0]"/>
    <tableColumn id="3" xr3:uid="{3FB3807D-FC3F-4DF8-B8D2-0283B381DEAF}" uniqueName="3" name="Rating" queryTableFieldId="3" dataDxfId="69" totalsRowDxfId="68"/>
    <tableColumn id="4" xr3:uid="{F9EADDD1-A6AB-49ED-A74A-D9DF98BCFC26}" uniqueName="4" name="Review Date" queryTableFieldId="4" dataDxfId="67" totalsRowDxfId="66"/>
    <tableColumn id="5" xr3:uid="{E4C6BDF2-53DF-491A-8499-3271AD3E77B3}" uniqueName="5" name="Fitch Rating" queryTableFieldId="16" dataDxfId="65" totalsRowDxfId="64"/>
    <tableColumn id="6" xr3:uid="{57CCFC02-F3EB-44D0-A63F-4740AD5EDE93}" uniqueName="6" name="Moody Rating" queryTableFieldId="17" dataDxfId="63" totalsRowDxfId="62"/>
    <tableColumn id="7" xr3:uid="{85AA7A11-15B3-4365-8B64-7D988D38CF4C}" uniqueName="7" name="S&amp;P Rating" queryTableFieldId="18" dataDxfId="61" totalsRowDxfId="6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CEB450-DAD8-42FA-92E1-32DCA84DBEC8}" name="Portfolio_by_bond" displayName="Portfolio_by_bond" ref="W1:AG49" tableType="queryTable" totalsRowCount="1" headerRowDxfId="59" dataDxfId="57" totalsRowDxfId="55" headerRowBorderDxfId="58" tableBorderDxfId="56" totalsRowBorderDxfId="54">
  <tableColumns count="11">
    <tableColumn id="1" xr3:uid="{1975A738-D67C-4454-A570-0BA0A279F34B}" uniqueName="1" name="Issuer" totalsRowLabel="Total" queryTableFieldId="1" dataDxfId="53" totalsRowDxfId="52"/>
    <tableColumn id="2" xr3:uid="{5CD07B8D-19CF-4325-8965-41351EE51620}" uniqueName="2" name="Issuer_Name" queryTableFieldId="2" dataDxfId="51" totalsRowDxfId="50"/>
    <tableColumn id="3" xr3:uid="{F0ACD6C8-6D50-47BF-8D01-8D8CBADB6382}" uniqueName="3" name="Bond_Code" queryTableFieldId="3" dataDxfId="49" totalsRowDxfId="48"/>
    <tableColumn id="4" xr3:uid="{AC97EC84-54D9-41B5-BC79-E2914E5B056B}" uniqueName="4" name="Tenor" queryTableFieldId="4" dataDxfId="47" totalsRowDxfId="46"/>
    <tableColumn id="5" xr3:uid="{59458436-4A83-4C30-83A3-797AB7F5ECB8}" uniqueName="5" name="Tenor (c/p)" queryTableFieldId="5" dataDxfId="45" totalsRowDxfId="44"/>
    <tableColumn id="6" xr3:uid="{7755E1B0-0C89-4216-B823-816A4A9591E9}" uniqueName="6" name="Rating" queryTableFieldId="6" dataDxfId="43" totalsRowDxfId="42" dataCellStyle="Comma [0]"/>
    <tableColumn id="7" xr3:uid="{473C981D-0BA0-4FD4-8EC8-0B4A033D1D3F}" uniqueName="7" name="Review Date" queryTableFieldId="7" dataDxfId="41" totalsRowDxfId="40" dataCellStyle="Comma [0]"/>
    <tableColumn id="8" xr3:uid="{C89FECB3-4FBA-4167-94D4-2923357F967D}" uniqueName="8" name="Fitch Rating" queryTableFieldId="8" dataDxfId="39" totalsRowDxfId="38"/>
    <tableColumn id="9" xr3:uid="{345B8889-AE58-449D-AB1D-62B8C7B2F0E9}" uniqueName="9" name="Moody Rating" queryTableFieldId="9" dataDxfId="37" totalsRowDxfId="36"/>
    <tableColumn id="10" xr3:uid="{CC3CCB37-F89F-4E83-A605-1FEFB12EF698}" uniqueName="10" name="S&amp;P Rating" queryTableFieldId="10" dataDxfId="35" totalsRowDxfId="34"/>
    <tableColumn id="12" xr3:uid="{3C71755E-1885-48A4-998F-33CC2F9B44A0}" uniqueName="12" name="Total Amount" totalsRowFunction="sum" queryTableFieldId="12" dataDxfId="33" totalsRowDxfId="32" dataCellStyle="Comma [0]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2943BBC-BA4B-4AAF-82D8-0BA0A5C84CB9}" name="His" displayName="His" ref="Q1:V197" tableType="queryTable" totalsRowShown="0">
  <tableColumns count="6">
    <tableColumn id="1" xr3:uid="{1341B62F-A517-44C5-AE80-670398826793}" uniqueName="1" name="Month" queryTableFieldId="1"/>
    <tableColumn id="2" xr3:uid="{14C2BC71-A7F9-4AD8-9591-B6F9436E3BAD}" uniqueName="2" name="Year" queryTableFieldId="2"/>
    <tableColumn id="6" xr3:uid="{08ECB4CF-A3CC-4443-89BB-A1FC95842762}" uniqueName="6" name="CptyName" queryTableFieldId="6"/>
    <tableColumn id="3" xr3:uid="{72D7AFC3-F824-4C1A-A728-91988C604DBA}" uniqueName="3" name="CptyCode" queryTableFieldId="3"/>
    <tableColumn id="4" xr3:uid="{EFA6D77A-A089-4B62-B633-18A5E13043D7}" uniqueName="4" name="FiRating" queryTableFieldId="4"/>
    <tableColumn id="5" xr3:uid="{70B440F8-29E3-4279-BD6E-B0EDCAA94FE5}" uniqueName="5" name="FiRatingDate" queryTableFieldId="5" dataDxfId="31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8B78213-4B81-4179-860F-DB69FEA023B3}" name="CtpyRating" displayName="CtpyRating" ref="A1:N204" tableType="queryTable" totalsRowShown="0">
  <tableColumns count="14">
    <tableColumn id="1" xr3:uid="{18C53A1E-A724-4CDA-83C3-49C0E8482477}" uniqueName="1" name="CPTY_NAME" queryTableFieldId="1" dataDxfId="30"/>
    <tableColumn id="2" xr3:uid="{E474C76C-E3A2-4937-AB07-1B09B5C9C380}" uniqueName="2" name="CPTY_CODE_ISSUER" queryTableFieldId="2" dataDxfId="29"/>
    <tableColumn id="3" xr3:uid="{52B948B2-590E-4591-8993-45BA163715D1}" uniqueName="3" name="CPTY_TYPE" queryTableFieldId="3" dataDxfId="28"/>
    <tableColumn id="4" xr3:uid="{86C88BF0-43BB-4E37-A993-DEC95268E442}" uniqueName="4" name="FI_RATING" queryTableFieldId="4" dataDxfId="27"/>
    <tableColumn id="5" xr3:uid="{25167B11-FCDE-48F9-BE3C-7332E010C5CF}" uniqueName="5" name="FI_RATING_DATE" queryTableFieldId="5" dataDxfId="26"/>
    <tableColumn id="6" xr3:uid="{0D431876-9F2A-4C76-A147-48633B95EE7D}" uniqueName="6" name="FITCH_RATING" queryTableFieldId="6" dataDxfId="25"/>
    <tableColumn id="7" xr3:uid="{ED772F9B-A727-4E77-87AB-23CFBE831F24}" uniqueName="7" name="FITCH_RATING_DATE" queryTableFieldId="7" dataDxfId="24"/>
    <tableColumn id="8" xr3:uid="{0844CACB-9278-405C-8DD9-182D1A354531}" uniqueName="8" name="MOODY_RATING" queryTableFieldId="8" dataDxfId="23"/>
    <tableColumn id="9" xr3:uid="{0CAABC3A-0937-4841-8ABE-FE99725B56AD}" uniqueName="9" name="MOODY_RATING_DATE" queryTableFieldId="9" dataDxfId="22"/>
    <tableColumn id="10" xr3:uid="{C5E4CBC5-52C2-41F1-BE63-1DF3151180B7}" uniqueName="10" name="SP_RATING" queryTableFieldId="10" dataDxfId="21"/>
    <tableColumn id="11" xr3:uid="{3B09EB66-C429-42E9-9818-5BA3813999CC}" uniqueName="11" name="SP_RATING_DATE" queryTableFieldId="11"/>
    <tableColumn id="12" xr3:uid="{B3671254-4747-44DA-A97A-030DE35D4A20}" uniqueName="12" name="Change Rating" queryTableFieldId="12" dataDxfId="20">
      <calculatedColumnFormula>IF(OR(CtpyRating[[#This Row],[FI_RATING]]="",_xlfn.XLOOKUP(CtpyRating[[#This Row],[CPTY_NAME]],S:S,U:U,"",0)=CtpyRating[[#This Row],[FI_RATING]],CtpyRating[[#This Row],[New Rating]]="Yes"),"No","Yes")</calculatedColumnFormula>
    </tableColumn>
    <tableColumn id="13" xr3:uid="{6BDE6A30-8C23-4582-AE13-F8D911D20E20}" uniqueName="13" name="Chang rv date" queryTableFieldId="13" dataDxfId="19">
      <calculatedColumnFormula>IF(OR(CtpyRating[[#This Row],[FI_RATING_DATE]]="",CtpyRating[[#This Row],[FI_RATING_DATE]]=_xlfn.XLOOKUP(CtpyRating[[#This Row],[CPTY_NAME]],S:S,V:V,"",0),CtpyRating[[#This Row],[New Rating]]="Yes"),"No","Yes")</calculatedColumnFormula>
    </tableColumn>
    <tableColumn id="14" xr3:uid="{124FEDB4-FFED-4739-ABEB-7B8A4AD124FB}" uniqueName="14" name="New Rating" queryTableFieldId="14" dataDxfId="18">
      <calculatedColumnFormula>IF(AND(CtpyRating[[#This Row],[FI_RATING]]&lt;&gt;"",_xlfn.XLOOKUP(CtpyRating[[#This Row],[CPTY_NAME]],S:S,U:U,"",0)=""),"Yes","No")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D127B0-9138-40DC-89E1-0F20D5D1C7E4}" name="Table3" displayName="Table3" ref="A1:B194" totalsRowShown="0" headerRowDxfId="17" dataDxfId="16">
  <tableColumns count="2">
    <tableColumn id="1" xr3:uid="{CA5C013E-E9AD-4BD1-8700-BE9F1A8C8237}" name="CPTY_CODE_ISSUER" dataDxfId="15"/>
    <tableColumn id="2" xr3:uid="{F072E6EB-989A-4793-A9BB-F0754181F6F4}" name="CPTY_CODE_ISSUER_Name" dataDxfId="14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F77CF7-9C5D-4F93-AF98-CC6396DFE81E}" name="Ref" displayName="Ref" ref="A1:C10" totalsRowShown="0" headerRowDxfId="13" dataDxfId="12" headerRowCellStyle="HeaderStyle 2">
  <tableColumns count="3">
    <tableColumn id="3" xr3:uid="{958F3345-4ED3-43CC-A400-AA54A78433BE}" name="Tenor chuẩn" dataDxfId="11"/>
    <tableColumn id="4" xr3:uid="{7C39FE8D-06DD-41DB-A1C7-8AF8FB41775C}" name="Chặn dưới" dataDxfId="10"/>
    <tableColumn id="5" xr3:uid="{02959392-E9EF-44F8-AAD5-70848C730D42}" name="Chặn trên" dataDxfId="9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6A6E0A-A47C-4B03-9ACE-F92EC4B7CA6F}" name="DoiUng" displayName="DoiUng" ref="F1:G5" totalsRowShown="0">
  <autoFilter ref="F1:G5" xr:uid="{346A6E0A-A47C-4B03-9ACE-F92EC4B7CA6F}"/>
  <tableColumns count="2">
    <tableColumn id="1" xr3:uid="{805C9A17-3AD5-43FD-BDC5-495E9460EEA4}" name="Bonds_ShortName" dataDxfId="8"/>
    <tableColumn id="2" xr3:uid="{B17B30CF-F559-45ED-AD08-B88B63919922}" name=" FaceAmount " dataDxfId="7" dataCellStyle="Comma"/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9BBBB41-3E15-403F-A98F-D6C01681F665}" name="FNRP_ITB" displayName="FNRP_ITB" ref="J1:AN3" tableType="queryTable" totalsRowShown="0">
  <tableColumns count="31">
    <tableColumn id="1" xr3:uid="{543BB9E0-8AA3-4F4A-A3E7-3BD19653EAA4}" uniqueName="1" name="Currency" queryTableFieldId="1" dataDxfId="6"/>
    <tableColumn id="2" xr3:uid="{A21078F0-5FB6-4674-AB7F-D505D073891C}" uniqueName="2" name="Duration_range" queryTableFieldId="2" dataDxfId="5"/>
    <tableColumn id="3" xr3:uid="{B62FDCCD-63A9-4491-9C15-991C097DBD90}" uniqueName="3" name="Security Name" queryTableFieldId="3" dataDxfId="4"/>
    <tableColumn id="4" xr3:uid="{7507F990-48D2-43AB-AAEC-F2E32BB37AA5}" uniqueName="4" name="Type of Instr." queryTableFieldId="4" dataDxfId="3"/>
    <tableColumn id="5" xr3:uid="{A0BB81CB-1026-4CA0-A74B-9B77B228F95B}" uniqueName="5" name="Mat. Date" queryTableFieldId="5" dataDxfId="2"/>
    <tableColumn id="6" xr3:uid="{1927D0BF-012A-4E1E-A0C4-7D97C25E50E4}" uniqueName="6" name="Open Pos" queryTableFieldId="6" dataDxfId="1"/>
    <tableColumn id="7" xr3:uid="{41547744-BEC6-4FB4-8075-9ADB9E463F84}" uniqueName="7" name="Price" queryTableFieldId="7"/>
    <tableColumn id="8" xr3:uid="{14BEC846-1E12-48B9-8904-91139EF5AEFF}" uniqueName="8" name="Clean Price" queryTableFieldId="8"/>
    <tableColumn id="9" xr3:uid="{EC9D5D4B-BD34-4184-B3EA-9BF37BC7D198}" uniqueName="9" name="QUANTITY" queryTableFieldId="9"/>
    <tableColumn id="10" xr3:uid="{17C8880D-3064-46B6-84ED-6A3E82F88F8B}" uniqueName="10" name="Nominal" queryTableFieldId="10"/>
    <tableColumn id="11" xr3:uid="{6BDC3F1D-8AE9-43C0-9D4F-1774777FD5F9}" uniqueName="11" name="Avg Price" queryTableFieldId="11"/>
    <tableColumn id="12" xr3:uid="{119A2B9F-267E-4F78-9757-8A2A611391BF}" uniqueName="12" name="MARKET_VALUE" queryTableFieldId="12"/>
    <tableColumn id="13" xr3:uid="{227A07C7-F3A8-4501-AB36-80D808579930}" uniqueName="13" name="Cpn Rate" queryTableFieldId="13"/>
    <tableColumn id="14" xr3:uid="{E2448940-B544-472A-BD36-3B6DE5A351B4}" uniqueName="14" name="Accr Int" queryTableFieldId="14"/>
    <tableColumn id="15" xr3:uid="{63ADC842-EA6C-4025-8CCA-E936B90AE0A9}" uniqueName="15" name="Cpn Cumul" queryTableFieldId="15"/>
    <tableColumn id="16" xr3:uid="{608548B8-260B-4403-BACB-E82507062ECD}" uniqueName="16" name="Cpn Reinvested" queryTableFieldId="16"/>
    <tableColumn id="17" xr3:uid="{86202121-4603-489B-ADCA-BC8022DE6E18}" uniqueName="17" name="Cost of Carry" queryTableFieldId="17"/>
    <tableColumn id="18" xr3:uid="{D65B0C7C-D184-4D14-A51C-A5E48B9FA3EF}" uniqueName="18" name="Yield Mat" queryTableFieldId="18"/>
    <tableColumn id="19" xr3:uid="{A84E3B5A-7592-47F6-94BC-1683CD298973}" uniqueName="19" name="Mod Dur" queryTableFieldId="19"/>
    <tableColumn id="20" xr3:uid="{14285510-4ED9-41D0-8D32-7117A6F47863}" uniqueName="20" name="DURATION" queryTableFieldId="20"/>
    <tableColumn id="21" xr3:uid="{FB9C7ACF-F163-49BD-BCF7-1B29CF633CE5}" uniqueName="21" name="Cnvx." queryTableFieldId="21"/>
    <tableColumn id="22" xr3:uid="{12F238F6-722E-4D2F-8080-5C01C94FB14D}" uniqueName="22" name="Cnvx. Value" queryTableFieldId="22"/>
    <tableColumn id="23" xr3:uid="{F82D816E-B1D4-4B5A-A58B-D3C13C1419E6}" uniqueName="23" name="BPV (K)" queryTableFieldId="23"/>
    <tableColumn id="24" xr3:uid="{E7EF1BB9-3D9A-42CD-BD28-C65B2FE988A4}" uniqueName="24" name="Theta (K)" queryTableFieldId="24"/>
    <tableColumn id="25" xr3:uid="{28844474-E915-4EB7-BE37-63D7C31B3967}" uniqueName="25" name="REALIZED_CUR" queryTableFieldId="25"/>
    <tableColumn id="26" xr3:uid="{10199183-3019-4D98-AD1F-ADE2803DBCD8}" uniqueName="26" name="UNREALIZED_CUR" queryTableFieldId="26"/>
    <tableColumn id="27" xr3:uid="{D6F8E35D-03D2-453E-B1ED-200B78A788DC}" uniqueName="27" name="P/L Clean Price" queryTableFieldId="27"/>
    <tableColumn id="28" xr3:uid="{71C0A0AF-E185-49E0-840F-55F45669BCD9}" uniqueName="28" name="P/L Currency" queryTableFieldId="28"/>
    <tableColumn id="29" xr3:uid="{8730E007-D1AA-4B01-A1EC-4FC96429F5C8}" uniqueName="29" name="P/L Local" queryTableFieldId="29"/>
    <tableColumn id="30" xr3:uid="{4BDC2B68-F95C-414A-86BB-0DDFE13CBCFE}" uniqueName="30" name="P/L Report" queryTableFieldId="30"/>
    <tableColumn id="31" xr3:uid="{99B7FC0A-0A22-404A-BCD0-161D9E63D266}" uniqueName="31" name="avg yield" queryTableFieldId="31"/>
  </tableColumns>
  <tableStyleInfo name="TableStyleLight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51A9D0-E97E-4B12-AC7D-C3FB659132C9}" name="FX_KGS" displayName="FX_KGS" ref="AP1:AS2" totalsRowShown="0">
  <tableColumns count="4">
    <tableColumn id="1" xr3:uid="{91FA5BC4-5C45-426F-B718-FD0E742A0AE4}" name="Ccy"/>
    <tableColumn id="2" xr3:uid="{C01E0A16-05F1-4556-9067-3BBE3CC31A88}" name="Rate"/>
    <tableColumn id="3" xr3:uid="{EE94A826-472D-4193-B948-8D747ED6ADD2}" name="RateDate" dataDxfId="0"/>
    <tableColumn id="4" xr3:uid="{94A87EE9-0111-4ECD-B5F8-0EB986228599}" name="Source"/>
  </tableColumns>
  <tableStyleInfo name="TableStyleLight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2CF6B14-D237-4B7F-86AF-E6D85DB615F6}" name="MFKR_Rating" displayName="MFKR_Rating" ref="AU1:AV2" totalsRowShown="0">
  <tableColumns count="2">
    <tableColumn id="1" xr3:uid="{B329F051-B867-4E49-B887-9F594268DB3A}" name="Issuer"/>
    <tableColumn id="2" xr3:uid="{D88A69F3-36DE-479F-9763-3E40BD31D65C}" name="Rating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file:///C:\Users\thaottp14\AppData\Roaming\Microsoft\Excel\Backup\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7016-7440-4635-9A88-7756985E4EEF}">
  <sheetPr codeName="Sheet1"/>
  <dimension ref="A1:C6"/>
  <sheetViews>
    <sheetView workbookViewId="0">
      <selection activeCell="A6" sqref="A6"/>
    </sheetView>
  </sheetViews>
  <sheetFormatPr defaultRowHeight="14.4" x14ac:dyDescent="0.3"/>
  <cols>
    <col min="2" max="2" width="45.8984375" bestFit="1" customWidth="1"/>
  </cols>
  <sheetData>
    <row r="1" spans="1:3" x14ac:dyDescent="0.3">
      <c r="A1" t="s">
        <v>524</v>
      </c>
      <c r="B1" t="s">
        <v>523</v>
      </c>
      <c r="C1" t="s">
        <v>522</v>
      </c>
    </row>
    <row r="2" spans="1:3" x14ac:dyDescent="0.3">
      <c r="B2" t="s">
        <v>519</v>
      </c>
      <c r="C2" t="s">
        <v>525</v>
      </c>
    </row>
    <row r="3" spans="1:3" x14ac:dyDescent="0.3">
      <c r="B3" t="s">
        <v>521</v>
      </c>
      <c r="C3" t="s">
        <v>525</v>
      </c>
    </row>
    <row r="4" spans="1:3" x14ac:dyDescent="0.3">
      <c r="A4" s="40">
        <v>46157</v>
      </c>
      <c r="B4" t="s">
        <v>526</v>
      </c>
      <c r="C4" t="s">
        <v>525</v>
      </c>
    </row>
    <row r="5" spans="1:3" x14ac:dyDescent="0.3">
      <c r="A5" s="40">
        <v>46157</v>
      </c>
      <c r="B5" t="s">
        <v>520</v>
      </c>
      <c r="C5" t="s">
        <v>525</v>
      </c>
    </row>
    <row r="6" spans="1:3" x14ac:dyDescent="0.3">
      <c r="A6" s="40">
        <v>46157</v>
      </c>
      <c r="B6" t="s">
        <v>564</v>
      </c>
      <c r="C6" t="s">
        <v>525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64470-A890-494B-940C-9B9CA67F0E0F}">
  <sheetPr codeName="Sheet3">
    <tabColor rgb="FFC00000"/>
  </sheetPr>
  <dimension ref="A1:XFD29"/>
  <sheetViews>
    <sheetView showGridLines="0" tabSelected="1" workbookViewId="0">
      <selection activeCell="C2" sqref="C2"/>
    </sheetView>
  </sheetViews>
  <sheetFormatPr defaultColWidth="9.09765625" defaultRowHeight="16.100000000000001" x14ac:dyDescent="0.35"/>
  <cols>
    <col min="1" max="1" width="4.59765625" style="10" bestFit="1" customWidth="1"/>
    <col min="2" max="2" width="13.19921875" style="10" bestFit="1" customWidth="1"/>
    <col min="3" max="3" width="11.8984375" style="10" customWidth="1"/>
    <col min="4" max="4" width="9.09765625" style="10"/>
    <col min="5" max="5" width="2.3984375" style="25" customWidth="1"/>
    <col min="6" max="6" width="9.09765625" style="10"/>
    <col min="7" max="7" width="13.3984375" style="10" bestFit="1" customWidth="1"/>
    <col min="8" max="8" width="52.59765625" style="10" bestFit="1" customWidth="1"/>
    <col min="9" max="9" width="16.09765625" style="10" bestFit="1" customWidth="1"/>
    <col min="10" max="11" width="19.3984375" style="10" bestFit="1" customWidth="1"/>
    <col min="12" max="12" width="19.09765625" style="10" bestFit="1" customWidth="1"/>
    <col min="13" max="17" width="18.69921875" style="10" customWidth="1"/>
    <col min="18" max="16384" width="9.09765625" style="10"/>
  </cols>
  <sheetData>
    <row r="1" spans="1:17" x14ac:dyDescent="0.35">
      <c r="A1" s="1" t="s">
        <v>0</v>
      </c>
      <c r="B1" s="1" t="s">
        <v>3</v>
      </c>
      <c r="C1" s="1" t="s">
        <v>1</v>
      </c>
      <c r="D1" s="8"/>
      <c r="E1" s="22"/>
      <c r="F1" s="8"/>
      <c r="G1" s="9" t="s">
        <v>450</v>
      </c>
    </row>
    <row r="2" spans="1:17" s="14" customFormat="1" x14ac:dyDescent="0.35">
      <c r="A2" s="2">
        <v>1</v>
      </c>
      <c r="B2" s="3" t="s">
        <v>4</v>
      </c>
      <c r="C2" s="4">
        <v>46237</v>
      </c>
      <c r="D2" s="41"/>
      <c r="E2" s="23"/>
      <c r="F2" s="21"/>
      <c r="G2" s="11" t="s">
        <v>449</v>
      </c>
      <c r="H2" s="11" t="s">
        <v>448</v>
      </c>
      <c r="I2" s="12" t="s">
        <v>444</v>
      </c>
      <c r="J2" s="13" t="s">
        <v>445</v>
      </c>
      <c r="K2" s="12" t="s">
        <v>446</v>
      </c>
      <c r="L2" s="13" t="s">
        <v>447</v>
      </c>
    </row>
    <row r="3" spans="1:17" x14ac:dyDescent="0.35">
      <c r="A3" s="2">
        <v>2</v>
      </c>
      <c r="B3" s="3" t="s">
        <v>2</v>
      </c>
      <c r="C3" s="5" t="str">
        <f>"\\filesrv01.msb.com.vn\06.Khoi Quan Ly Rui Ro\02.Trung Tam QLRR Thi Truong\02.Phong GSRRTT\05.Report\01.Daily report\"&amp;TEXT(RPT,"yyyy.mm.dd")&amp;"\00.Input\00.Raw_Data.xlsm"</f>
        <v>\\filesrv01.msb.com.vn\06.Khoi Quan Ly Rui Ro\02.Trung Tam QLRR Thi Truong\02.Phong GSRRTT\05.Report\01.Daily report\2026.08.03\00.Input\00.Raw_Data.xlsm</v>
      </c>
      <c r="D3" s="21" t="s">
        <v>438</v>
      </c>
      <c r="E3" s="23"/>
      <c r="F3" s="21"/>
      <c r="G3" s="15" t="str">
        <f>_xlfn.XLOOKUP(H3,Rating!A:A,Rating!B:B,"",0)</f>
        <v>DBV</v>
      </c>
      <c r="H3" s="15" t="str" cm="1">
        <f t="array" ref="H3:H4">IFERROR(_xlfn._xlws.FILTER(Rating!A:A,Rating!N:N="Yes"),"")</f>
        <v>CONG TY CP TAP DOAN BAO HIEM DBV</v>
      </c>
      <c r="I3" s="16" t="str">
        <f>_xlfn.XLOOKUP(H3,Rating!A:A,Rating!D:D,"",0)</f>
        <v>BBB</v>
      </c>
      <c r="J3" s="17" t="str">
        <f>_xlfn.XLOOKUP(H4,Rating!S:S,Rating!U:U,"",0)</f>
        <v/>
      </c>
      <c r="K3" s="17">
        <v>46182</v>
      </c>
      <c r="L3" s="17"/>
    </row>
    <row r="4" spans="1:17" x14ac:dyDescent="0.35">
      <c r="A4" s="2">
        <v>3</v>
      </c>
      <c r="B4" s="6" t="s">
        <v>496</v>
      </c>
      <c r="C4" s="36" t="str">
        <f>"\\filesrv01.msb.com.vn\06.Khoi Quan Ly Rui Ro\02.Trung Tam QLRR Thi Truong\02.Phong GSRRTT\05.Report\01.Daily Report\"&amp;TEXT(RPT,"yyyy.mm.dd")&amp;"\BOND\02.FI Bond\01.RptTool_FIBond_"&amp;TEXT(RPT,"yyyy.mm.dd")&amp;".xlsb"</f>
        <v>\\filesrv01.msb.com.vn\06.Khoi Quan Ly Rui Ro\02.Trung Tam QLRR Thi Truong\02.Phong GSRRTT\05.Report\01.Daily Report\2026.08.03\BOND\02.FI Bond\01.RptTool_FIBond_2026.08.03.xlsb</v>
      </c>
      <c r="D4" s="21" t="s">
        <v>438</v>
      </c>
      <c r="E4" s="23"/>
      <c r="F4" s="21"/>
      <c r="G4" s="15" t="str">
        <f>_xlfn.XLOOKUP(H4,Rating!A:A,Rating!B:B,"",0)</f>
        <v>MFKR</v>
      </c>
      <c r="H4" s="15" t="str">
        <v>KOMPANION BANK CLOSED JOINT STOCK COMPANY</v>
      </c>
      <c r="I4" s="16" t="str">
        <f>_xlfn.XLOOKUP(H4,Rating!A:A,Rating!D:D,"",0)</f>
        <v>BBB</v>
      </c>
      <c r="J4" s="16" t="str">
        <f>_xlfn.XLOOKUP(H4,Rating!S:S,Rating!U:U,"",0)</f>
        <v/>
      </c>
      <c r="K4" s="17">
        <f>_xlfn.XLOOKUP(H4,Rating!A:A,Rating!E:E,"",0)</f>
        <v>46182</v>
      </c>
      <c r="L4" s="17"/>
    </row>
    <row r="5" spans="1:17" x14ac:dyDescent="0.35">
      <c r="A5" s="2">
        <v>4</v>
      </c>
      <c r="B5" s="6" t="s">
        <v>443</v>
      </c>
      <c r="C5" s="36" t="str">
        <f>"\\filesrv01.msb.com.vn\06.Khoi Quan Ly Rui Ro\02.Trung Tam QLRR Thi Truong\02.Phong GSRRTT\05.Report\02.Monthly Report\06. Bond Monthly\03.FIBond_Internal rating\Input\"&amp;YEAR(RPT)&amp;"\FI rating và External rating_"&amp;TEXT(RPT,"yyyy.mm")&amp;".xlsx"</f>
        <v>\\filesrv01.msb.com.vn\06.Khoi Quan Ly Rui Ro\02.Trung Tam QLRR Thi Truong\02.Phong GSRRTT\05.Report\02.Monthly Report\06. Bond Monthly\03.FIBond_Internal rating\Input\2026\FI rating và External rating_2026.08.xlsx</v>
      </c>
      <c r="D5" s="21" t="s">
        <v>438</v>
      </c>
      <c r="E5" s="23"/>
      <c r="F5" s="21"/>
      <c r="G5" s="15"/>
      <c r="H5" s="15"/>
      <c r="I5" s="16"/>
      <c r="J5" s="16"/>
      <c r="K5" s="17"/>
      <c r="L5" s="17"/>
    </row>
    <row r="6" spans="1:17" x14ac:dyDescent="0.35">
      <c r="A6" s="20">
        <v>5</v>
      </c>
      <c r="B6" s="7" t="s">
        <v>474</v>
      </c>
      <c r="C6" s="5" t="str">
        <f>"\\filesrv01.msb.com.vn\06.Khoi Quan Ly Rui Ro\02.Trung Tam QLRR Thi Truong\02.Phong GSRRTT\05.Report\01.Daily report\"&amp;TEXT(RPT,"yyyy.mm.dd")&amp;"\00.Input\02.Kondor\RPBOD_B003.xlsx"</f>
        <v>\\filesrv01.msb.com.vn\06.Khoi Quan Ly Rui Ro\02.Trung Tam QLRR Thi Truong\02.Phong GSRRTT\05.Report\01.Daily report\2026.08.03\00.Input\02.Kondor\RPBOD_B003.xlsx</v>
      </c>
      <c r="D6" s="21" t="s">
        <v>438</v>
      </c>
      <c r="E6" s="23"/>
      <c r="F6" s="21"/>
      <c r="G6" s="15"/>
      <c r="H6" s="15"/>
      <c r="I6" s="16"/>
      <c r="J6" s="16"/>
      <c r="K6" s="17"/>
      <c r="L6" s="17"/>
    </row>
    <row r="7" spans="1:17" x14ac:dyDescent="0.35">
      <c r="A7" s="2">
        <v>6</v>
      </c>
      <c r="B7" s="6" t="s">
        <v>471</v>
      </c>
      <c r="C7" s="26" t="str">
        <f>"\\filesrv01.msb.com.vn\06.Khoi Quan Ly Rui Ro\02.Trung Tam QLRR Thi Truong\02.Phong GSRRTT\05.Report\02.Monthly Report\06. Bond Monthly\03.FIBond_Internal rating\Backup\01.FIBond_Rating_"&amp;TEXT(RPT,"yyyy.mm")&amp;".xlsb"</f>
        <v>\\filesrv01.msb.com.vn\06.Khoi Quan Ly Rui Ro\02.Trung Tam QLRR Thi Truong\02.Phong GSRRTT\05.Report\02.Monthly Report\06. Bond Monthly\03.FIBond_Internal rating\Backup\01.FIBond_Rating_2026.08.xlsb</v>
      </c>
      <c r="D7" s="21" t="s">
        <v>438</v>
      </c>
      <c r="E7" s="23"/>
      <c r="F7" s="21"/>
      <c r="G7" s="15"/>
      <c r="H7" s="15"/>
      <c r="I7" s="16"/>
      <c r="J7" s="16"/>
      <c r="K7" s="17"/>
      <c r="L7" s="17"/>
    </row>
    <row r="8" spans="1:17" x14ac:dyDescent="0.35">
      <c r="A8" s="31">
        <v>7</v>
      </c>
      <c r="B8" s="32" t="s">
        <v>487</v>
      </c>
      <c r="C8" s="33">
        <f>MONTH(RPT-30)</f>
        <v>7</v>
      </c>
      <c r="D8" s="21"/>
      <c r="E8" s="23"/>
      <c r="F8" s="21"/>
    </row>
    <row r="9" spans="1:17" s="14" customFormat="1" x14ac:dyDescent="0.35">
      <c r="A9" s="2">
        <v>8</v>
      </c>
      <c r="B9" s="6" t="s">
        <v>488</v>
      </c>
      <c r="C9" s="33">
        <f>YEAR(RPT-30)</f>
        <v>2026</v>
      </c>
      <c r="D9" s="21"/>
      <c r="E9" s="23"/>
      <c r="F9" s="21"/>
      <c r="G9" s="9" t="s">
        <v>463</v>
      </c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 x14ac:dyDescent="0.35">
      <c r="A10" s="2">
        <v>9</v>
      </c>
      <c r="B10" s="43" t="s">
        <v>527</v>
      </c>
      <c r="C10" s="42" t="str">
        <f>IF(AND(Portfolio!D10=Portfolio!B24,Portfolio!D10=Portfolio_by_issuer[[#Totals],[Total Amount]],Portfolio!D10=Portfolio!B24),"OK","CHECK")</f>
        <v>OK</v>
      </c>
      <c r="D10" s="14"/>
      <c r="E10" s="24"/>
      <c r="F10" s="14"/>
      <c r="G10" s="11" t="s">
        <v>449</v>
      </c>
      <c r="H10" s="11" t="s">
        <v>448</v>
      </c>
      <c r="I10" s="12" t="s">
        <v>462</v>
      </c>
      <c r="J10" s="12" t="s">
        <v>446</v>
      </c>
      <c r="K10" s="13" t="s">
        <v>447</v>
      </c>
      <c r="L10" s="14"/>
      <c r="M10" s="14"/>
      <c r="N10" s="14"/>
      <c r="O10" s="14"/>
      <c r="P10" s="14"/>
      <c r="Q10" s="14"/>
    </row>
    <row r="11" spans="1:17" x14ac:dyDescent="0.35">
      <c r="A11" s="2">
        <v>10</v>
      </c>
      <c r="B11" s="6" t="s">
        <v>591</v>
      </c>
      <c r="C11" s="42" t="str">
        <f>"\\filesrv01.msb.com.vn\06.Khoi Quan Ly Rui Ro\02.Trung Tam QLRR Thi Truong\02.Phong GSRRTT\05.Report\01.Daily Report\"&amp;TEXT(RPT,"yyyy.mm.dd")&amp;"\00.Input\01.DataFile53\BondAllBS2BK.BondsSynthetic.csv"</f>
        <v>\\filesrv01.msb.com.vn\06.Khoi Quan Ly Rui Ro\02.Trung Tam QLRR Thi Truong\02.Phong GSRRTT\05.Report\01.Daily Report\2026.08.03\00.Input\01.DataFile53\BondAllBS2BK.BondsSynthetic.csv</v>
      </c>
      <c r="D11" s="21" t="s">
        <v>438</v>
      </c>
      <c r="G11" s="15" t="str">
        <f>_xlfn.XLOOKUP(H11,Rating!A:A,Rating!B:B,"",0)</f>
        <v>VBAH</v>
      </c>
      <c r="H11" s="15" t="str" cm="1">
        <f t="array" ref="H11:H16">_xlfn._xlws.FILTER(Rating!A:A, (Rating!L:L="No") * (Rating!M:M="Yes"))</f>
        <v>NGAN HANG NONG NGHIEP VA PHAT TRIEN NONG THON</v>
      </c>
      <c r="I11" s="16" t="str">
        <f>_xlfn.XLOOKUP(H11,Rating!A:A,Rating!D:D,"",0)</f>
        <v>AAA</v>
      </c>
      <c r="J11" s="17">
        <f>_xlfn.XLOOKUP(H11,Rating!A:A,Rating!E:E,"",0)</f>
        <v>46203</v>
      </c>
      <c r="K11" s="17">
        <f>_xlfn.XLOOKUP(H11,Rating!S:S,Rating!V:V,"",0)</f>
        <v>45847</v>
      </c>
    </row>
    <row r="12" spans="1:17" x14ac:dyDescent="0.35">
      <c r="G12" s="15" t="str">
        <f>_xlfn.XLOOKUP(H12,Rating!A:A,Rating!B:B,"",0)</f>
        <v>BVBH</v>
      </c>
      <c r="H12" s="15" t="str">
        <v>NGAN HANG TMCP BAO VIET</v>
      </c>
      <c r="I12" s="16" t="str">
        <f>_xlfn.XLOOKUP(H12,Rating!A:A,Rating!D:D,"",0)</f>
        <v>CC</v>
      </c>
      <c r="J12" s="17">
        <f>_xlfn.XLOOKUP(H12,Rating!A:A,Rating!E:E,"",0)</f>
        <v>46189</v>
      </c>
      <c r="K12" s="17">
        <f>_xlfn.XLOOKUP(H12,Rating!S:S,Rating!V:V,"",0)</f>
        <v>45824</v>
      </c>
    </row>
    <row r="13" spans="1:17" x14ac:dyDescent="0.35">
      <c r="G13" s="15" t="str">
        <f>_xlfn.XLOOKUP(H13,Rating!A:A,Rating!B:B,"",0)</f>
        <v>VCBH</v>
      </c>
      <c r="H13" s="15" t="str">
        <v>NGAN HANG TMCP NGOAI THUONG VN</v>
      </c>
      <c r="I13" s="16" t="str">
        <f>_xlfn.XLOOKUP(H13,Rating!A:A,Rating!D:D,"",0)</f>
        <v>AAA</v>
      </c>
      <c r="J13" s="17">
        <f>_xlfn.XLOOKUP(H13,Rating!A:A,Rating!E:E,"",0)</f>
        <v>46196</v>
      </c>
      <c r="K13" s="17">
        <f>_xlfn.XLOOKUP(H13,Rating!S:S,Rating!V:V,"",0)</f>
        <v>45839</v>
      </c>
    </row>
    <row r="14" spans="1:17" x14ac:dyDescent="0.35">
      <c r="G14" s="15" t="str">
        <f>_xlfn.XLOOKUP(H14,Rating!A:A,Rating!B:B,"",0)</f>
        <v>ACBV</v>
      </c>
      <c r="H14" s="15" t="str">
        <v>NGAN HANG TMCP A CHAU</v>
      </c>
      <c r="I14" s="16" t="str">
        <f>_xlfn.XLOOKUP(H14,Rating!A:A,Rating!D:D,"",0)</f>
        <v>AA</v>
      </c>
      <c r="J14" s="17">
        <f>_xlfn.XLOOKUP(H14,Rating!A:A,Rating!E:E,"",0)</f>
        <v>46203</v>
      </c>
      <c r="K14" s="17">
        <f>_xlfn.XLOOKUP(H14,Rating!S:S,Rating!V:V,"",0)</f>
        <v>45783</v>
      </c>
    </row>
    <row r="15" spans="1:17" x14ac:dyDescent="0.35">
      <c r="G15" s="15" t="str">
        <f>_xlfn.XLOOKUP(H15,Rating!A:A,Rating!B:B,"",0)</f>
        <v>HVHB-VN</v>
      </c>
      <c r="H15" s="15" t="str">
        <v>NGAN HANG TNHH MTV WOORI VIET NAM</v>
      </c>
      <c r="I15" s="16" t="str">
        <f>_xlfn.XLOOKUP(H15,Rating!A:A,Rating!D:D,"",0)</f>
        <v>AA</v>
      </c>
      <c r="J15" s="17">
        <f>_xlfn.XLOOKUP(H15,Rating!A:A,Rating!E:E,"",0)</f>
        <v>46197</v>
      </c>
      <c r="K15" s="17">
        <f>_xlfn.XLOOKUP(H15,Rating!S:S,Rating!V:V,"",0)</f>
        <v>45749</v>
      </c>
    </row>
    <row r="16" spans="1:17" x14ac:dyDescent="0.35">
      <c r="G16" s="15" t="str">
        <f>_xlfn.XLOOKUP(H16,Rating!A:A,Rating!B:B,"",0)</f>
        <v>HLBV-VN</v>
      </c>
      <c r="H16" s="15" t="str">
        <v>NGAN HANG TNHH MTV HONG LEONG VN</v>
      </c>
      <c r="I16" s="16" t="str">
        <f>_xlfn.XLOOKUP(H16,Rating!A:A,Rating!D:D,"",0)</f>
        <v>AAA</v>
      </c>
      <c r="J16" s="17">
        <f>_xlfn.XLOOKUP(H16,Rating!A:A,Rating!E:E,"",0)</f>
        <v>46227</v>
      </c>
      <c r="K16" s="17">
        <f>_xlfn.XLOOKUP(H16,Rating!S:S,Rating!V:V,"",0)</f>
        <v>45868</v>
      </c>
    </row>
    <row r="17" spans="5:16384" x14ac:dyDescent="0.35">
      <c r="G17" s="15"/>
      <c r="H17" s="15"/>
      <c r="I17" s="16"/>
      <c r="J17" s="17"/>
      <c r="K17" s="17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14"/>
      <c r="HI17" s="14"/>
      <c r="HJ17" s="14"/>
      <c r="HK17" s="14"/>
      <c r="HL17" s="14"/>
      <c r="HM17" s="14"/>
      <c r="HN17" s="14"/>
      <c r="HO17" s="14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  <c r="IM17" s="14"/>
      <c r="IN17" s="14"/>
      <c r="IO17" s="14"/>
      <c r="IP17" s="14"/>
      <c r="IQ17" s="14"/>
      <c r="IR17" s="14"/>
      <c r="IS17" s="14"/>
      <c r="IT17" s="14"/>
      <c r="IU17" s="14"/>
      <c r="IV17" s="14"/>
      <c r="IW17" s="14"/>
      <c r="IX17" s="14"/>
      <c r="IY17" s="14"/>
      <c r="IZ17" s="14"/>
      <c r="JA17" s="14"/>
      <c r="JB17" s="14"/>
      <c r="JC17" s="14"/>
      <c r="JD17" s="14"/>
      <c r="JE17" s="14"/>
      <c r="JF17" s="14"/>
      <c r="JG17" s="14"/>
      <c r="JH17" s="14"/>
      <c r="JI17" s="14"/>
      <c r="JJ17" s="14"/>
      <c r="JK17" s="14"/>
      <c r="JL17" s="14"/>
      <c r="JM17" s="14"/>
      <c r="JN17" s="14"/>
      <c r="JO17" s="14"/>
      <c r="JP17" s="14"/>
      <c r="JQ17" s="14"/>
      <c r="JR17" s="14"/>
      <c r="JS17" s="14"/>
      <c r="JT17" s="14"/>
      <c r="JU17" s="14"/>
      <c r="JV17" s="14"/>
      <c r="JW17" s="14"/>
      <c r="JX17" s="14"/>
      <c r="JY17" s="14"/>
      <c r="JZ17" s="14"/>
      <c r="KA17" s="14"/>
      <c r="KB17" s="14"/>
      <c r="KC17" s="14"/>
      <c r="KD17" s="14"/>
      <c r="KE17" s="14"/>
      <c r="KF17" s="14"/>
      <c r="KG17" s="14"/>
      <c r="KH17" s="14"/>
      <c r="KI17" s="14"/>
      <c r="KJ17" s="14"/>
      <c r="KK17" s="14"/>
      <c r="KL17" s="14"/>
      <c r="KM17" s="14"/>
      <c r="KN17" s="14"/>
      <c r="KO17" s="14"/>
      <c r="KP17" s="14"/>
      <c r="KQ17" s="14"/>
      <c r="KR17" s="14"/>
      <c r="KS17" s="14"/>
      <c r="KT17" s="14"/>
      <c r="KU17" s="14"/>
      <c r="KV17" s="14"/>
      <c r="KW17" s="14"/>
      <c r="KX17" s="14"/>
      <c r="KY17" s="14"/>
      <c r="KZ17" s="14"/>
      <c r="LA17" s="14"/>
      <c r="LB17" s="14"/>
      <c r="LC17" s="14"/>
      <c r="LD17" s="14"/>
      <c r="LE17" s="14"/>
      <c r="LF17" s="14"/>
      <c r="LG17" s="14"/>
      <c r="LH17" s="14"/>
      <c r="LI17" s="14"/>
      <c r="LJ17" s="14"/>
      <c r="LK17" s="14"/>
      <c r="LL17" s="14"/>
      <c r="LM17" s="14"/>
      <c r="LN17" s="14"/>
      <c r="LO17" s="14"/>
      <c r="LP17" s="14"/>
      <c r="LQ17" s="14"/>
      <c r="LR17" s="14"/>
      <c r="LS17" s="14"/>
      <c r="LT17" s="14"/>
      <c r="LU17" s="14"/>
      <c r="LV17" s="14"/>
      <c r="LW17" s="14"/>
      <c r="LX17" s="14"/>
      <c r="LY17" s="14"/>
      <c r="LZ17" s="14"/>
      <c r="MA17" s="14"/>
      <c r="MB17" s="14"/>
      <c r="MC17" s="14"/>
      <c r="MD17" s="14"/>
      <c r="ME17" s="14"/>
      <c r="MF17" s="14"/>
      <c r="MG17" s="14"/>
      <c r="MH17" s="14"/>
      <c r="MI17" s="14"/>
      <c r="MJ17" s="14"/>
      <c r="MK17" s="14"/>
      <c r="ML17" s="14"/>
      <c r="MM17" s="14"/>
      <c r="MN17" s="14"/>
      <c r="MO17" s="14"/>
      <c r="MP17" s="14"/>
      <c r="MQ17" s="14"/>
      <c r="MR17" s="14"/>
      <c r="MS17" s="14"/>
      <c r="MT17" s="14"/>
      <c r="MU17" s="14"/>
      <c r="MV17" s="14"/>
      <c r="MW17" s="14"/>
      <c r="MX17" s="14"/>
      <c r="MY17" s="14"/>
      <c r="MZ17" s="14"/>
      <c r="NA17" s="14"/>
      <c r="NB17" s="14"/>
      <c r="NC17" s="14"/>
      <c r="ND17" s="14"/>
      <c r="NE17" s="14"/>
      <c r="NF17" s="14"/>
      <c r="NG17" s="14"/>
      <c r="NH17" s="14"/>
      <c r="NI17" s="14"/>
      <c r="NJ17" s="14"/>
      <c r="NK17" s="14"/>
      <c r="NL17" s="14"/>
      <c r="NM17" s="14"/>
      <c r="NN17" s="14"/>
      <c r="NO17" s="14"/>
      <c r="NP17" s="14"/>
      <c r="NQ17" s="14"/>
      <c r="NR17" s="14"/>
      <c r="NS17" s="14"/>
      <c r="NT17" s="14"/>
      <c r="NU17" s="14"/>
      <c r="NV17" s="14"/>
      <c r="NW17" s="14"/>
      <c r="NX17" s="14"/>
      <c r="NY17" s="14"/>
      <c r="NZ17" s="14"/>
      <c r="OA17" s="14"/>
      <c r="OB17" s="14"/>
      <c r="OC17" s="14"/>
      <c r="OD17" s="14"/>
      <c r="OE17" s="14"/>
      <c r="OF17" s="14"/>
      <c r="OG17" s="14"/>
      <c r="OH17" s="14"/>
      <c r="OI17" s="14"/>
      <c r="OJ17" s="14"/>
      <c r="OK17" s="14"/>
      <c r="OL17" s="14"/>
      <c r="OM17" s="14"/>
      <c r="ON17" s="14"/>
      <c r="OO17" s="14"/>
      <c r="OP17" s="14"/>
      <c r="OQ17" s="14"/>
      <c r="OR17" s="14"/>
      <c r="OS17" s="14"/>
      <c r="OT17" s="14"/>
      <c r="OU17" s="14"/>
      <c r="OV17" s="14"/>
      <c r="OW17" s="14"/>
      <c r="OX17" s="14"/>
      <c r="OY17" s="14"/>
      <c r="OZ17" s="14"/>
      <c r="PA17" s="14"/>
      <c r="PB17" s="14"/>
      <c r="PC17" s="14"/>
      <c r="PD17" s="14"/>
      <c r="PE17" s="14"/>
      <c r="PF17" s="14"/>
      <c r="PG17" s="14"/>
      <c r="PH17" s="14"/>
      <c r="PI17" s="14"/>
      <c r="PJ17" s="14"/>
      <c r="PK17" s="14"/>
      <c r="PL17" s="14"/>
      <c r="PM17" s="14"/>
      <c r="PN17" s="14"/>
      <c r="PO17" s="14"/>
      <c r="PP17" s="14"/>
      <c r="PQ17" s="14"/>
      <c r="PR17" s="14"/>
      <c r="PS17" s="14"/>
      <c r="PT17" s="14"/>
      <c r="PU17" s="14"/>
      <c r="PV17" s="14"/>
      <c r="PW17" s="14"/>
      <c r="PX17" s="14"/>
      <c r="PY17" s="14"/>
      <c r="PZ17" s="14"/>
      <c r="QA17" s="14"/>
      <c r="QB17" s="14"/>
      <c r="QC17" s="14"/>
      <c r="QD17" s="14"/>
      <c r="QE17" s="14"/>
      <c r="QF17" s="14"/>
      <c r="QG17" s="14"/>
      <c r="QH17" s="14"/>
      <c r="QI17" s="14"/>
      <c r="QJ17" s="14"/>
      <c r="QK17" s="14"/>
      <c r="QL17" s="14"/>
      <c r="QM17" s="14"/>
      <c r="QN17" s="14"/>
      <c r="QO17" s="14"/>
      <c r="QP17" s="14"/>
      <c r="QQ17" s="14"/>
      <c r="QR17" s="14"/>
      <c r="QS17" s="14"/>
      <c r="QT17" s="14"/>
      <c r="QU17" s="14"/>
      <c r="QV17" s="14"/>
      <c r="QW17" s="14"/>
      <c r="QX17" s="14"/>
      <c r="QY17" s="14"/>
      <c r="QZ17" s="14"/>
      <c r="RA17" s="14"/>
      <c r="RB17" s="14"/>
      <c r="RC17" s="14"/>
      <c r="RD17" s="14"/>
      <c r="RE17" s="14"/>
      <c r="RF17" s="14"/>
      <c r="RG17" s="14"/>
      <c r="RH17" s="14"/>
      <c r="RI17" s="14"/>
      <c r="RJ17" s="14"/>
      <c r="RK17" s="14"/>
      <c r="RL17" s="14"/>
      <c r="RM17" s="14"/>
      <c r="RN17" s="14"/>
      <c r="RO17" s="14"/>
      <c r="RP17" s="14"/>
      <c r="RQ17" s="14"/>
      <c r="RR17" s="14"/>
      <c r="RS17" s="14"/>
      <c r="RT17" s="14"/>
      <c r="RU17" s="14"/>
      <c r="RV17" s="14"/>
      <c r="RW17" s="14"/>
      <c r="RX17" s="14"/>
      <c r="RY17" s="14"/>
      <c r="RZ17" s="14"/>
      <c r="SA17" s="14"/>
      <c r="SB17" s="14"/>
      <c r="SC17" s="14"/>
      <c r="SD17" s="14"/>
      <c r="SE17" s="14"/>
      <c r="SF17" s="14"/>
      <c r="SG17" s="14"/>
      <c r="SH17" s="14"/>
      <c r="SI17" s="14"/>
      <c r="SJ17" s="14"/>
      <c r="SK17" s="14"/>
      <c r="SL17" s="14"/>
      <c r="SM17" s="14"/>
      <c r="SN17" s="14"/>
      <c r="SO17" s="14"/>
      <c r="SP17" s="14"/>
      <c r="SQ17" s="14"/>
      <c r="SR17" s="14"/>
      <c r="SS17" s="14"/>
      <c r="ST17" s="14"/>
      <c r="SU17" s="14"/>
      <c r="SV17" s="14"/>
      <c r="SW17" s="14"/>
      <c r="SX17" s="14"/>
      <c r="SY17" s="14"/>
      <c r="SZ17" s="14"/>
      <c r="TA17" s="14"/>
      <c r="TB17" s="14"/>
      <c r="TC17" s="14"/>
      <c r="TD17" s="14"/>
      <c r="TE17" s="14"/>
      <c r="TF17" s="14"/>
      <c r="TG17" s="14"/>
      <c r="TH17" s="14"/>
      <c r="TI17" s="14"/>
      <c r="TJ17" s="14"/>
      <c r="TK17" s="14"/>
      <c r="TL17" s="14"/>
      <c r="TM17" s="14"/>
      <c r="TN17" s="14"/>
      <c r="TO17" s="14"/>
      <c r="TP17" s="14"/>
      <c r="TQ17" s="14"/>
      <c r="TR17" s="14"/>
      <c r="TS17" s="14"/>
      <c r="TT17" s="14"/>
      <c r="TU17" s="14"/>
      <c r="TV17" s="14"/>
      <c r="TW17" s="14"/>
      <c r="TX17" s="14"/>
      <c r="TY17" s="14"/>
      <c r="TZ17" s="14"/>
      <c r="UA17" s="14"/>
      <c r="UB17" s="14"/>
      <c r="UC17" s="14"/>
      <c r="UD17" s="14"/>
      <c r="UE17" s="14"/>
      <c r="UF17" s="14"/>
      <c r="UG17" s="14"/>
      <c r="UH17" s="14"/>
      <c r="UI17" s="14"/>
      <c r="UJ17" s="14"/>
      <c r="UK17" s="14"/>
      <c r="UL17" s="14"/>
      <c r="UM17" s="14"/>
      <c r="UN17" s="14"/>
      <c r="UO17" s="14"/>
      <c r="UP17" s="14"/>
      <c r="UQ17" s="14"/>
      <c r="UR17" s="14"/>
      <c r="US17" s="14"/>
      <c r="UT17" s="14"/>
      <c r="UU17" s="14"/>
      <c r="UV17" s="14"/>
      <c r="UW17" s="14"/>
      <c r="UX17" s="14"/>
      <c r="UY17" s="14"/>
      <c r="UZ17" s="14"/>
      <c r="VA17" s="14"/>
      <c r="VB17" s="14"/>
      <c r="VC17" s="14"/>
      <c r="VD17" s="14"/>
      <c r="VE17" s="14"/>
      <c r="VF17" s="14"/>
      <c r="VG17" s="14"/>
      <c r="VH17" s="14"/>
      <c r="VI17" s="14"/>
      <c r="VJ17" s="14"/>
      <c r="VK17" s="14"/>
      <c r="VL17" s="14"/>
      <c r="VM17" s="14"/>
      <c r="VN17" s="14"/>
      <c r="VO17" s="14"/>
      <c r="VP17" s="14"/>
      <c r="VQ17" s="14"/>
      <c r="VR17" s="14"/>
      <c r="VS17" s="14"/>
      <c r="VT17" s="14"/>
      <c r="VU17" s="14"/>
      <c r="VV17" s="14"/>
      <c r="VW17" s="14"/>
      <c r="VX17" s="14"/>
      <c r="VY17" s="14"/>
      <c r="VZ17" s="14"/>
      <c r="WA17" s="14"/>
      <c r="WB17" s="14"/>
      <c r="WC17" s="14"/>
      <c r="WD17" s="14"/>
      <c r="WE17" s="14"/>
      <c r="WF17" s="14"/>
      <c r="WG17" s="14"/>
      <c r="WH17" s="14"/>
      <c r="WI17" s="14"/>
      <c r="WJ17" s="14"/>
      <c r="WK17" s="14"/>
      <c r="WL17" s="14"/>
      <c r="WM17" s="14"/>
      <c r="WN17" s="14"/>
      <c r="WO17" s="14"/>
      <c r="WP17" s="14"/>
      <c r="WQ17" s="14"/>
      <c r="WR17" s="14"/>
      <c r="WS17" s="14"/>
      <c r="WT17" s="14"/>
      <c r="WU17" s="14"/>
      <c r="WV17" s="14"/>
      <c r="WW17" s="14"/>
      <c r="WX17" s="14"/>
      <c r="WY17" s="14"/>
      <c r="WZ17" s="14"/>
      <c r="XA17" s="14"/>
      <c r="XB17" s="14"/>
      <c r="XC17" s="14"/>
      <c r="XD17" s="14"/>
      <c r="XE17" s="14"/>
      <c r="XF17" s="14"/>
      <c r="XG17" s="14"/>
      <c r="XH17" s="14"/>
      <c r="XI17" s="14"/>
      <c r="XJ17" s="14"/>
      <c r="XK17" s="14"/>
      <c r="XL17" s="14"/>
      <c r="XM17" s="14"/>
      <c r="XN17" s="14"/>
      <c r="XO17" s="14"/>
      <c r="XP17" s="14"/>
      <c r="XQ17" s="14"/>
      <c r="XR17" s="14"/>
      <c r="XS17" s="14"/>
      <c r="XT17" s="14"/>
      <c r="XU17" s="14"/>
      <c r="XV17" s="14"/>
      <c r="XW17" s="14"/>
      <c r="XX17" s="14"/>
      <c r="XY17" s="14"/>
      <c r="XZ17" s="14"/>
      <c r="YA17" s="14"/>
      <c r="YB17" s="14"/>
      <c r="YC17" s="14"/>
      <c r="YD17" s="14"/>
      <c r="YE17" s="14"/>
      <c r="YF17" s="14"/>
      <c r="YG17" s="14"/>
      <c r="YH17" s="14"/>
      <c r="YI17" s="14"/>
      <c r="YJ17" s="14"/>
      <c r="YK17" s="14"/>
      <c r="YL17" s="14"/>
      <c r="YM17" s="14"/>
      <c r="YN17" s="14"/>
      <c r="YO17" s="14"/>
      <c r="YP17" s="14"/>
      <c r="YQ17" s="14"/>
      <c r="YR17" s="14"/>
      <c r="YS17" s="14"/>
      <c r="YT17" s="14"/>
      <c r="YU17" s="14"/>
      <c r="YV17" s="14"/>
      <c r="YW17" s="14"/>
      <c r="YX17" s="14"/>
      <c r="YY17" s="14"/>
      <c r="YZ17" s="14"/>
      <c r="ZA17" s="14"/>
      <c r="ZB17" s="14"/>
      <c r="ZC17" s="14"/>
      <c r="ZD17" s="14"/>
      <c r="ZE17" s="14"/>
      <c r="ZF17" s="14"/>
      <c r="ZG17" s="14"/>
      <c r="ZH17" s="14"/>
      <c r="ZI17" s="14"/>
      <c r="ZJ17" s="14"/>
      <c r="ZK17" s="14"/>
      <c r="ZL17" s="14"/>
      <c r="ZM17" s="14"/>
      <c r="ZN17" s="14"/>
      <c r="ZO17" s="14"/>
      <c r="ZP17" s="14"/>
      <c r="ZQ17" s="14"/>
      <c r="ZR17" s="14"/>
      <c r="ZS17" s="14"/>
      <c r="ZT17" s="14"/>
      <c r="ZU17" s="14"/>
      <c r="ZV17" s="14"/>
      <c r="ZW17" s="14"/>
      <c r="ZX17" s="14"/>
      <c r="ZY17" s="14"/>
      <c r="ZZ17" s="14"/>
      <c r="AAA17" s="14"/>
      <c r="AAB17" s="14"/>
      <c r="AAC17" s="14"/>
      <c r="AAD17" s="14"/>
      <c r="AAE17" s="14"/>
      <c r="AAF17" s="14"/>
      <c r="AAG17" s="14"/>
      <c r="AAH17" s="14"/>
      <c r="AAI17" s="14"/>
      <c r="AAJ17" s="14"/>
      <c r="AAK17" s="14"/>
      <c r="AAL17" s="14"/>
      <c r="AAM17" s="14"/>
      <c r="AAN17" s="14"/>
      <c r="AAO17" s="14"/>
      <c r="AAP17" s="14"/>
      <c r="AAQ17" s="14"/>
      <c r="AAR17" s="14"/>
      <c r="AAS17" s="14"/>
      <c r="AAT17" s="14"/>
      <c r="AAU17" s="14"/>
      <c r="AAV17" s="14"/>
      <c r="AAW17" s="14"/>
      <c r="AAX17" s="14"/>
      <c r="AAY17" s="14"/>
      <c r="AAZ17" s="14"/>
      <c r="ABA17" s="14"/>
      <c r="ABB17" s="14"/>
      <c r="ABC17" s="14"/>
      <c r="ABD17" s="14"/>
      <c r="ABE17" s="14"/>
      <c r="ABF17" s="14"/>
      <c r="ABG17" s="14"/>
      <c r="ABH17" s="14"/>
      <c r="ABI17" s="14"/>
      <c r="ABJ17" s="14"/>
      <c r="ABK17" s="14"/>
      <c r="ABL17" s="14"/>
      <c r="ABM17" s="14"/>
      <c r="ABN17" s="14"/>
      <c r="ABO17" s="14"/>
      <c r="ABP17" s="14"/>
      <c r="ABQ17" s="14"/>
      <c r="ABR17" s="14"/>
      <c r="ABS17" s="14"/>
      <c r="ABT17" s="14"/>
      <c r="ABU17" s="14"/>
      <c r="ABV17" s="14"/>
      <c r="ABW17" s="14"/>
      <c r="ABX17" s="14"/>
      <c r="ABY17" s="14"/>
      <c r="ABZ17" s="14"/>
      <c r="ACA17" s="14"/>
      <c r="ACB17" s="14"/>
      <c r="ACC17" s="14"/>
      <c r="ACD17" s="14"/>
      <c r="ACE17" s="14"/>
      <c r="ACF17" s="14"/>
      <c r="ACG17" s="14"/>
      <c r="ACH17" s="14"/>
      <c r="ACI17" s="14"/>
      <c r="ACJ17" s="14"/>
      <c r="ACK17" s="14"/>
      <c r="ACL17" s="14"/>
      <c r="ACM17" s="14"/>
      <c r="ACN17" s="14"/>
      <c r="ACO17" s="14"/>
      <c r="ACP17" s="14"/>
      <c r="ACQ17" s="14"/>
      <c r="ACR17" s="14"/>
      <c r="ACS17" s="14"/>
      <c r="ACT17" s="14"/>
      <c r="ACU17" s="14"/>
      <c r="ACV17" s="14"/>
      <c r="ACW17" s="14"/>
      <c r="ACX17" s="14"/>
      <c r="ACY17" s="14"/>
      <c r="ACZ17" s="14"/>
      <c r="ADA17" s="14"/>
      <c r="ADB17" s="14"/>
      <c r="ADC17" s="14"/>
      <c r="ADD17" s="14"/>
      <c r="ADE17" s="14"/>
      <c r="ADF17" s="14"/>
      <c r="ADG17" s="14"/>
      <c r="ADH17" s="14"/>
      <c r="ADI17" s="14"/>
      <c r="ADJ17" s="14"/>
      <c r="ADK17" s="14"/>
      <c r="ADL17" s="14"/>
      <c r="ADM17" s="14"/>
      <c r="ADN17" s="14"/>
      <c r="ADO17" s="14"/>
      <c r="ADP17" s="14"/>
      <c r="ADQ17" s="14"/>
      <c r="ADR17" s="14"/>
      <c r="ADS17" s="14"/>
      <c r="ADT17" s="14"/>
      <c r="ADU17" s="14"/>
      <c r="ADV17" s="14"/>
      <c r="ADW17" s="14"/>
      <c r="ADX17" s="14"/>
      <c r="ADY17" s="14"/>
      <c r="ADZ17" s="14"/>
      <c r="AEA17" s="14"/>
      <c r="AEB17" s="14"/>
      <c r="AEC17" s="14"/>
      <c r="AED17" s="14"/>
      <c r="AEE17" s="14"/>
      <c r="AEF17" s="14"/>
      <c r="AEG17" s="14"/>
      <c r="AEH17" s="14"/>
      <c r="AEI17" s="14"/>
      <c r="AEJ17" s="14"/>
      <c r="AEK17" s="14"/>
      <c r="AEL17" s="14"/>
      <c r="AEM17" s="14"/>
      <c r="AEN17" s="14"/>
      <c r="AEO17" s="14"/>
      <c r="AEP17" s="14"/>
      <c r="AEQ17" s="14"/>
      <c r="AER17" s="14"/>
      <c r="AES17" s="14"/>
      <c r="AET17" s="14"/>
      <c r="AEU17" s="14"/>
      <c r="AEV17" s="14"/>
      <c r="AEW17" s="14"/>
      <c r="AEX17" s="14"/>
      <c r="AEY17" s="14"/>
      <c r="AEZ17" s="14"/>
      <c r="AFA17" s="14"/>
      <c r="AFB17" s="14"/>
      <c r="AFC17" s="14"/>
      <c r="AFD17" s="14"/>
      <c r="AFE17" s="14"/>
      <c r="AFF17" s="14"/>
      <c r="AFG17" s="14"/>
      <c r="AFH17" s="14"/>
      <c r="AFI17" s="14"/>
      <c r="AFJ17" s="14"/>
      <c r="AFK17" s="14"/>
      <c r="AFL17" s="14"/>
      <c r="AFM17" s="14"/>
      <c r="AFN17" s="14"/>
      <c r="AFO17" s="14"/>
      <c r="AFP17" s="14"/>
      <c r="AFQ17" s="14"/>
      <c r="AFR17" s="14"/>
      <c r="AFS17" s="14"/>
      <c r="AFT17" s="14"/>
      <c r="AFU17" s="14"/>
      <c r="AFV17" s="14"/>
      <c r="AFW17" s="14"/>
      <c r="AFX17" s="14"/>
      <c r="AFY17" s="14"/>
      <c r="AFZ17" s="14"/>
      <c r="AGA17" s="14"/>
      <c r="AGB17" s="14"/>
      <c r="AGC17" s="14"/>
      <c r="AGD17" s="14"/>
      <c r="AGE17" s="14"/>
      <c r="AGF17" s="14"/>
      <c r="AGG17" s="14"/>
      <c r="AGH17" s="14"/>
      <c r="AGI17" s="14"/>
      <c r="AGJ17" s="14"/>
      <c r="AGK17" s="14"/>
      <c r="AGL17" s="14"/>
      <c r="AGM17" s="14"/>
      <c r="AGN17" s="14"/>
      <c r="AGO17" s="14"/>
      <c r="AGP17" s="14"/>
      <c r="AGQ17" s="14"/>
      <c r="AGR17" s="14"/>
      <c r="AGS17" s="14"/>
      <c r="AGT17" s="14"/>
      <c r="AGU17" s="14"/>
      <c r="AGV17" s="14"/>
      <c r="AGW17" s="14"/>
      <c r="AGX17" s="14"/>
      <c r="AGY17" s="14"/>
      <c r="AGZ17" s="14"/>
      <c r="AHA17" s="14"/>
      <c r="AHB17" s="14"/>
      <c r="AHC17" s="14"/>
      <c r="AHD17" s="14"/>
      <c r="AHE17" s="14"/>
      <c r="AHF17" s="14"/>
      <c r="AHG17" s="14"/>
      <c r="AHH17" s="14"/>
      <c r="AHI17" s="14"/>
      <c r="AHJ17" s="14"/>
      <c r="AHK17" s="14"/>
      <c r="AHL17" s="14"/>
      <c r="AHM17" s="14"/>
      <c r="AHN17" s="14"/>
      <c r="AHO17" s="14"/>
      <c r="AHP17" s="14"/>
      <c r="AHQ17" s="14"/>
      <c r="AHR17" s="14"/>
      <c r="AHS17" s="14"/>
      <c r="AHT17" s="14"/>
      <c r="AHU17" s="14"/>
      <c r="AHV17" s="14"/>
      <c r="AHW17" s="14"/>
      <c r="AHX17" s="14"/>
      <c r="AHY17" s="14"/>
      <c r="AHZ17" s="14"/>
      <c r="AIA17" s="14"/>
      <c r="AIB17" s="14"/>
      <c r="AIC17" s="14"/>
      <c r="AID17" s="14"/>
      <c r="AIE17" s="14"/>
      <c r="AIF17" s="14"/>
      <c r="AIG17" s="14"/>
      <c r="AIH17" s="14"/>
      <c r="AII17" s="14"/>
      <c r="AIJ17" s="14"/>
      <c r="AIK17" s="14"/>
      <c r="AIL17" s="14"/>
      <c r="AIM17" s="14"/>
      <c r="AIN17" s="14"/>
      <c r="AIO17" s="14"/>
      <c r="AIP17" s="14"/>
      <c r="AIQ17" s="14"/>
      <c r="AIR17" s="14"/>
      <c r="AIS17" s="14"/>
      <c r="AIT17" s="14"/>
      <c r="AIU17" s="14"/>
      <c r="AIV17" s="14"/>
      <c r="AIW17" s="14"/>
      <c r="AIX17" s="14"/>
      <c r="AIY17" s="14"/>
      <c r="AIZ17" s="14"/>
      <c r="AJA17" s="14"/>
      <c r="AJB17" s="14"/>
      <c r="AJC17" s="14"/>
      <c r="AJD17" s="14"/>
      <c r="AJE17" s="14"/>
      <c r="AJF17" s="14"/>
      <c r="AJG17" s="14"/>
      <c r="AJH17" s="14"/>
      <c r="AJI17" s="14"/>
      <c r="AJJ17" s="14"/>
      <c r="AJK17" s="14"/>
      <c r="AJL17" s="14"/>
      <c r="AJM17" s="14"/>
      <c r="AJN17" s="14"/>
      <c r="AJO17" s="14"/>
      <c r="AJP17" s="14"/>
      <c r="AJQ17" s="14"/>
      <c r="AJR17" s="14"/>
      <c r="AJS17" s="14"/>
      <c r="AJT17" s="14"/>
      <c r="AJU17" s="14"/>
      <c r="AJV17" s="14"/>
      <c r="AJW17" s="14"/>
      <c r="AJX17" s="14"/>
      <c r="AJY17" s="14"/>
      <c r="AJZ17" s="14"/>
      <c r="AKA17" s="14"/>
      <c r="AKB17" s="14"/>
      <c r="AKC17" s="14"/>
      <c r="AKD17" s="14"/>
      <c r="AKE17" s="14"/>
      <c r="AKF17" s="14"/>
      <c r="AKG17" s="14"/>
      <c r="AKH17" s="14"/>
      <c r="AKI17" s="14"/>
      <c r="AKJ17" s="14"/>
      <c r="AKK17" s="14"/>
      <c r="AKL17" s="14"/>
      <c r="AKM17" s="14"/>
      <c r="AKN17" s="14"/>
      <c r="AKO17" s="14"/>
      <c r="AKP17" s="14"/>
      <c r="AKQ17" s="14"/>
      <c r="AKR17" s="14"/>
      <c r="AKS17" s="14"/>
      <c r="AKT17" s="14"/>
      <c r="AKU17" s="14"/>
      <c r="AKV17" s="14"/>
      <c r="AKW17" s="14"/>
      <c r="AKX17" s="14"/>
      <c r="AKY17" s="14"/>
      <c r="AKZ17" s="14"/>
      <c r="ALA17" s="14"/>
      <c r="ALB17" s="14"/>
      <c r="ALC17" s="14"/>
      <c r="ALD17" s="14"/>
      <c r="ALE17" s="14"/>
      <c r="ALF17" s="14"/>
      <c r="ALG17" s="14"/>
      <c r="ALH17" s="14"/>
      <c r="ALI17" s="14"/>
      <c r="ALJ17" s="14"/>
      <c r="ALK17" s="14"/>
      <c r="ALL17" s="14"/>
      <c r="ALM17" s="14"/>
      <c r="ALN17" s="14"/>
      <c r="ALO17" s="14"/>
      <c r="ALP17" s="14"/>
      <c r="ALQ17" s="14"/>
      <c r="ALR17" s="14"/>
      <c r="ALS17" s="14"/>
      <c r="ALT17" s="14"/>
      <c r="ALU17" s="14"/>
      <c r="ALV17" s="14"/>
      <c r="ALW17" s="14"/>
      <c r="ALX17" s="14"/>
      <c r="ALY17" s="14"/>
      <c r="ALZ17" s="14"/>
      <c r="AMA17" s="14"/>
      <c r="AMB17" s="14"/>
      <c r="AMC17" s="14"/>
      <c r="AMD17" s="14"/>
      <c r="AME17" s="14"/>
      <c r="AMF17" s="14"/>
      <c r="AMG17" s="14"/>
      <c r="AMH17" s="14"/>
      <c r="AMI17" s="14"/>
      <c r="AMJ17" s="14"/>
      <c r="AMK17" s="14"/>
      <c r="AML17" s="14"/>
      <c r="AMM17" s="14"/>
      <c r="AMN17" s="14"/>
      <c r="AMO17" s="14"/>
      <c r="AMP17" s="14"/>
      <c r="AMQ17" s="14"/>
      <c r="AMR17" s="14"/>
      <c r="AMS17" s="14"/>
      <c r="AMT17" s="14"/>
      <c r="AMU17" s="14"/>
      <c r="AMV17" s="14"/>
      <c r="AMW17" s="14"/>
      <c r="AMX17" s="14"/>
      <c r="AMY17" s="14"/>
      <c r="AMZ17" s="14"/>
      <c r="ANA17" s="14"/>
      <c r="ANB17" s="14"/>
      <c r="ANC17" s="14"/>
      <c r="AND17" s="14"/>
      <c r="ANE17" s="14"/>
      <c r="ANF17" s="14"/>
      <c r="ANG17" s="14"/>
      <c r="ANH17" s="14"/>
      <c r="ANI17" s="14"/>
      <c r="ANJ17" s="14"/>
      <c r="ANK17" s="14"/>
      <c r="ANL17" s="14"/>
      <c r="ANM17" s="14"/>
      <c r="ANN17" s="14"/>
      <c r="ANO17" s="14"/>
      <c r="ANP17" s="14"/>
      <c r="ANQ17" s="14"/>
      <c r="ANR17" s="14"/>
      <c r="ANS17" s="14"/>
      <c r="ANT17" s="14"/>
      <c r="ANU17" s="14"/>
      <c r="ANV17" s="14"/>
      <c r="ANW17" s="14"/>
      <c r="ANX17" s="14"/>
      <c r="ANY17" s="14"/>
      <c r="ANZ17" s="14"/>
      <c r="AOA17" s="14"/>
      <c r="AOB17" s="14"/>
      <c r="AOC17" s="14"/>
      <c r="AOD17" s="14"/>
      <c r="AOE17" s="14"/>
      <c r="AOF17" s="14"/>
      <c r="AOG17" s="14"/>
      <c r="AOH17" s="14"/>
      <c r="AOI17" s="14"/>
      <c r="AOJ17" s="14"/>
      <c r="AOK17" s="14"/>
      <c r="AOL17" s="14"/>
      <c r="AOM17" s="14"/>
      <c r="AON17" s="14"/>
      <c r="AOO17" s="14"/>
      <c r="AOP17" s="14"/>
      <c r="AOQ17" s="14"/>
      <c r="AOR17" s="14"/>
      <c r="AOS17" s="14"/>
      <c r="AOT17" s="14"/>
      <c r="AOU17" s="14"/>
      <c r="AOV17" s="14"/>
      <c r="AOW17" s="14"/>
      <c r="AOX17" s="14"/>
      <c r="AOY17" s="14"/>
      <c r="AOZ17" s="14"/>
      <c r="APA17" s="14"/>
      <c r="APB17" s="14"/>
      <c r="APC17" s="14"/>
      <c r="APD17" s="14"/>
      <c r="APE17" s="14"/>
      <c r="APF17" s="14"/>
      <c r="APG17" s="14"/>
      <c r="APH17" s="14"/>
      <c r="API17" s="14"/>
      <c r="APJ17" s="14"/>
      <c r="APK17" s="14"/>
      <c r="APL17" s="14"/>
      <c r="APM17" s="14"/>
      <c r="APN17" s="14"/>
      <c r="APO17" s="14"/>
      <c r="APP17" s="14"/>
      <c r="APQ17" s="14"/>
      <c r="APR17" s="14"/>
      <c r="APS17" s="14"/>
      <c r="APT17" s="14"/>
      <c r="APU17" s="14"/>
      <c r="APV17" s="14"/>
      <c r="APW17" s="14"/>
      <c r="APX17" s="14"/>
      <c r="APY17" s="14"/>
      <c r="APZ17" s="14"/>
      <c r="AQA17" s="14"/>
      <c r="AQB17" s="14"/>
      <c r="AQC17" s="14"/>
      <c r="AQD17" s="14"/>
      <c r="AQE17" s="14"/>
      <c r="AQF17" s="14"/>
      <c r="AQG17" s="14"/>
      <c r="AQH17" s="14"/>
      <c r="AQI17" s="14"/>
      <c r="AQJ17" s="14"/>
      <c r="AQK17" s="14"/>
      <c r="AQL17" s="14"/>
      <c r="AQM17" s="14"/>
      <c r="AQN17" s="14"/>
      <c r="AQO17" s="14"/>
      <c r="AQP17" s="14"/>
      <c r="AQQ17" s="14"/>
      <c r="AQR17" s="14"/>
      <c r="AQS17" s="14"/>
      <c r="AQT17" s="14"/>
      <c r="AQU17" s="14"/>
      <c r="AQV17" s="14"/>
      <c r="AQW17" s="14"/>
      <c r="AQX17" s="14"/>
      <c r="AQY17" s="14"/>
      <c r="AQZ17" s="14"/>
      <c r="ARA17" s="14"/>
      <c r="ARB17" s="14"/>
      <c r="ARC17" s="14"/>
      <c r="ARD17" s="14"/>
      <c r="ARE17" s="14"/>
      <c r="ARF17" s="14"/>
      <c r="ARG17" s="14"/>
      <c r="ARH17" s="14"/>
      <c r="ARI17" s="14"/>
      <c r="ARJ17" s="14"/>
      <c r="ARK17" s="14"/>
      <c r="ARL17" s="14"/>
      <c r="ARM17" s="14"/>
      <c r="ARN17" s="14"/>
      <c r="ARO17" s="14"/>
      <c r="ARP17" s="14"/>
      <c r="ARQ17" s="14"/>
      <c r="ARR17" s="14"/>
      <c r="ARS17" s="14"/>
      <c r="ART17" s="14"/>
      <c r="ARU17" s="14"/>
      <c r="ARV17" s="14"/>
      <c r="ARW17" s="14"/>
      <c r="ARX17" s="14"/>
      <c r="ARY17" s="14"/>
      <c r="ARZ17" s="14"/>
      <c r="ASA17" s="14"/>
      <c r="ASB17" s="14"/>
      <c r="ASC17" s="14"/>
      <c r="ASD17" s="14"/>
      <c r="ASE17" s="14"/>
      <c r="ASF17" s="14"/>
      <c r="ASG17" s="14"/>
      <c r="ASH17" s="14"/>
      <c r="ASI17" s="14"/>
      <c r="ASJ17" s="14"/>
      <c r="ASK17" s="14"/>
      <c r="ASL17" s="14"/>
      <c r="ASM17" s="14"/>
      <c r="ASN17" s="14"/>
      <c r="ASO17" s="14"/>
      <c r="ASP17" s="14"/>
      <c r="ASQ17" s="14"/>
      <c r="ASR17" s="14"/>
      <c r="ASS17" s="14"/>
      <c r="AST17" s="14"/>
      <c r="ASU17" s="14"/>
      <c r="ASV17" s="14"/>
      <c r="ASW17" s="14"/>
      <c r="ASX17" s="14"/>
      <c r="ASY17" s="14"/>
      <c r="ASZ17" s="14"/>
      <c r="ATA17" s="14"/>
      <c r="ATB17" s="14"/>
      <c r="ATC17" s="14"/>
      <c r="ATD17" s="14"/>
      <c r="ATE17" s="14"/>
      <c r="ATF17" s="14"/>
      <c r="ATG17" s="14"/>
      <c r="ATH17" s="14"/>
      <c r="ATI17" s="14"/>
      <c r="ATJ17" s="14"/>
      <c r="ATK17" s="14"/>
      <c r="ATL17" s="14"/>
      <c r="ATM17" s="14"/>
      <c r="ATN17" s="14"/>
      <c r="ATO17" s="14"/>
      <c r="ATP17" s="14"/>
      <c r="ATQ17" s="14"/>
      <c r="ATR17" s="14"/>
      <c r="ATS17" s="14"/>
      <c r="ATT17" s="14"/>
      <c r="ATU17" s="14"/>
      <c r="ATV17" s="14"/>
      <c r="ATW17" s="14"/>
      <c r="ATX17" s="14"/>
      <c r="ATY17" s="14"/>
      <c r="ATZ17" s="14"/>
      <c r="AUA17" s="14"/>
      <c r="AUB17" s="14"/>
      <c r="AUC17" s="14"/>
      <c r="AUD17" s="14"/>
      <c r="AUE17" s="14"/>
      <c r="AUF17" s="14"/>
      <c r="AUG17" s="14"/>
      <c r="AUH17" s="14"/>
      <c r="AUI17" s="14"/>
      <c r="AUJ17" s="14"/>
      <c r="AUK17" s="14"/>
      <c r="AUL17" s="14"/>
      <c r="AUM17" s="14"/>
      <c r="AUN17" s="14"/>
      <c r="AUO17" s="14"/>
      <c r="AUP17" s="14"/>
      <c r="AUQ17" s="14"/>
      <c r="AUR17" s="14"/>
      <c r="AUS17" s="14"/>
      <c r="AUT17" s="14"/>
      <c r="AUU17" s="14"/>
      <c r="AUV17" s="14"/>
      <c r="AUW17" s="14"/>
      <c r="AUX17" s="14"/>
      <c r="AUY17" s="14"/>
      <c r="AUZ17" s="14"/>
      <c r="AVA17" s="14"/>
      <c r="AVB17" s="14"/>
      <c r="AVC17" s="14"/>
      <c r="AVD17" s="14"/>
      <c r="AVE17" s="14"/>
      <c r="AVF17" s="14"/>
      <c r="AVG17" s="14"/>
      <c r="AVH17" s="14"/>
      <c r="AVI17" s="14"/>
      <c r="AVJ17" s="14"/>
      <c r="AVK17" s="14"/>
      <c r="AVL17" s="14"/>
      <c r="AVM17" s="14"/>
      <c r="AVN17" s="14"/>
      <c r="AVO17" s="14"/>
      <c r="AVP17" s="14"/>
      <c r="AVQ17" s="14"/>
      <c r="AVR17" s="14"/>
      <c r="AVS17" s="14"/>
      <c r="AVT17" s="14"/>
      <c r="AVU17" s="14"/>
      <c r="AVV17" s="14"/>
      <c r="AVW17" s="14"/>
      <c r="AVX17" s="14"/>
      <c r="AVY17" s="14"/>
      <c r="AVZ17" s="14"/>
      <c r="AWA17" s="14"/>
      <c r="AWB17" s="14"/>
      <c r="AWC17" s="14"/>
      <c r="AWD17" s="14"/>
      <c r="AWE17" s="14"/>
      <c r="AWF17" s="14"/>
      <c r="AWG17" s="14"/>
      <c r="AWH17" s="14"/>
      <c r="AWI17" s="14"/>
      <c r="AWJ17" s="14"/>
      <c r="AWK17" s="14"/>
      <c r="AWL17" s="14"/>
      <c r="AWM17" s="14"/>
      <c r="AWN17" s="14"/>
      <c r="AWO17" s="14"/>
      <c r="AWP17" s="14"/>
      <c r="AWQ17" s="14"/>
      <c r="AWR17" s="14"/>
      <c r="AWS17" s="14"/>
      <c r="AWT17" s="14"/>
      <c r="AWU17" s="14"/>
      <c r="AWV17" s="14"/>
      <c r="AWW17" s="14"/>
      <c r="AWX17" s="14"/>
      <c r="AWY17" s="14"/>
      <c r="AWZ17" s="14"/>
      <c r="AXA17" s="14"/>
      <c r="AXB17" s="14"/>
      <c r="AXC17" s="14"/>
      <c r="AXD17" s="14"/>
      <c r="AXE17" s="14"/>
      <c r="AXF17" s="14"/>
      <c r="AXG17" s="14"/>
      <c r="AXH17" s="14"/>
      <c r="AXI17" s="14"/>
      <c r="AXJ17" s="14"/>
      <c r="AXK17" s="14"/>
      <c r="AXL17" s="14"/>
      <c r="AXM17" s="14"/>
      <c r="AXN17" s="14"/>
      <c r="AXO17" s="14"/>
      <c r="AXP17" s="14"/>
      <c r="AXQ17" s="14"/>
      <c r="AXR17" s="14"/>
      <c r="AXS17" s="14"/>
      <c r="AXT17" s="14"/>
      <c r="AXU17" s="14"/>
      <c r="AXV17" s="14"/>
      <c r="AXW17" s="14"/>
      <c r="AXX17" s="14"/>
      <c r="AXY17" s="14"/>
      <c r="AXZ17" s="14"/>
      <c r="AYA17" s="14"/>
      <c r="AYB17" s="14"/>
      <c r="AYC17" s="14"/>
      <c r="AYD17" s="14"/>
      <c r="AYE17" s="14"/>
      <c r="AYF17" s="14"/>
      <c r="AYG17" s="14"/>
      <c r="AYH17" s="14"/>
      <c r="AYI17" s="14"/>
      <c r="AYJ17" s="14"/>
      <c r="AYK17" s="14"/>
      <c r="AYL17" s="14"/>
      <c r="AYM17" s="14"/>
      <c r="AYN17" s="14"/>
      <c r="AYO17" s="14"/>
      <c r="AYP17" s="14"/>
      <c r="AYQ17" s="14"/>
      <c r="AYR17" s="14"/>
      <c r="AYS17" s="14"/>
      <c r="AYT17" s="14"/>
      <c r="AYU17" s="14"/>
      <c r="AYV17" s="14"/>
      <c r="AYW17" s="14"/>
      <c r="AYX17" s="14"/>
      <c r="AYY17" s="14"/>
      <c r="AYZ17" s="14"/>
      <c r="AZA17" s="14"/>
      <c r="AZB17" s="14"/>
      <c r="AZC17" s="14"/>
      <c r="AZD17" s="14"/>
      <c r="AZE17" s="14"/>
      <c r="AZF17" s="14"/>
      <c r="AZG17" s="14"/>
      <c r="AZH17" s="14"/>
      <c r="AZI17" s="14"/>
      <c r="AZJ17" s="14"/>
      <c r="AZK17" s="14"/>
      <c r="AZL17" s="14"/>
      <c r="AZM17" s="14"/>
      <c r="AZN17" s="14"/>
      <c r="AZO17" s="14"/>
      <c r="AZP17" s="14"/>
      <c r="AZQ17" s="14"/>
      <c r="AZR17" s="14"/>
      <c r="AZS17" s="14"/>
      <c r="AZT17" s="14"/>
      <c r="AZU17" s="14"/>
      <c r="AZV17" s="14"/>
      <c r="AZW17" s="14"/>
      <c r="AZX17" s="14"/>
      <c r="AZY17" s="14"/>
      <c r="AZZ17" s="14"/>
      <c r="BAA17" s="14"/>
      <c r="BAB17" s="14"/>
      <c r="BAC17" s="14"/>
      <c r="BAD17" s="14"/>
      <c r="BAE17" s="14"/>
      <c r="BAF17" s="14"/>
      <c r="BAG17" s="14"/>
      <c r="BAH17" s="14"/>
      <c r="BAI17" s="14"/>
      <c r="BAJ17" s="14"/>
      <c r="BAK17" s="14"/>
      <c r="BAL17" s="14"/>
      <c r="BAM17" s="14"/>
      <c r="BAN17" s="14"/>
      <c r="BAO17" s="14"/>
      <c r="BAP17" s="14"/>
      <c r="BAQ17" s="14"/>
      <c r="BAR17" s="14"/>
      <c r="BAS17" s="14"/>
      <c r="BAT17" s="14"/>
      <c r="BAU17" s="14"/>
      <c r="BAV17" s="14"/>
      <c r="BAW17" s="14"/>
      <c r="BAX17" s="14"/>
      <c r="BAY17" s="14"/>
      <c r="BAZ17" s="14"/>
      <c r="BBA17" s="14"/>
      <c r="BBB17" s="14"/>
      <c r="BBC17" s="14"/>
      <c r="BBD17" s="14"/>
      <c r="BBE17" s="14"/>
      <c r="BBF17" s="14"/>
      <c r="BBG17" s="14"/>
      <c r="BBH17" s="14"/>
      <c r="BBI17" s="14"/>
      <c r="BBJ17" s="14"/>
      <c r="BBK17" s="14"/>
      <c r="BBL17" s="14"/>
      <c r="BBM17" s="14"/>
      <c r="BBN17" s="14"/>
      <c r="BBO17" s="14"/>
      <c r="BBP17" s="14"/>
      <c r="BBQ17" s="14"/>
      <c r="BBR17" s="14"/>
      <c r="BBS17" s="14"/>
      <c r="BBT17" s="14"/>
      <c r="BBU17" s="14"/>
      <c r="BBV17" s="14"/>
      <c r="BBW17" s="14"/>
      <c r="BBX17" s="14"/>
      <c r="BBY17" s="14"/>
      <c r="BBZ17" s="14"/>
      <c r="BCA17" s="14"/>
      <c r="BCB17" s="14"/>
      <c r="BCC17" s="14"/>
      <c r="BCD17" s="14"/>
      <c r="BCE17" s="14"/>
      <c r="BCF17" s="14"/>
      <c r="BCG17" s="14"/>
      <c r="BCH17" s="14"/>
      <c r="BCI17" s="14"/>
      <c r="BCJ17" s="14"/>
      <c r="BCK17" s="14"/>
      <c r="BCL17" s="14"/>
      <c r="BCM17" s="14"/>
      <c r="BCN17" s="14"/>
      <c r="BCO17" s="14"/>
      <c r="BCP17" s="14"/>
      <c r="BCQ17" s="14"/>
      <c r="BCR17" s="14"/>
      <c r="BCS17" s="14"/>
      <c r="BCT17" s="14"/>
      <c r="BCU17" s="14"/>
      <c r="BCV17" s="14"/>
      <c r="BCW17" s="14"/>
      <c r="BCX17" s="14"/>
      <c r="BCY17" s="14"/>
      <c r="BCZ17" s="14"/>
      <c r="BDA17" s="14"/>
      <c r="BDB17" s="14"/>
      <c r="BDC17" s="14"/>
      <c r="BDD17" s="14"/>
      <c r="BDE17" s="14"/>
      <c r="BDF17" s="14"/>
      <c r="BDG17" s="14"/>
      <c r="BDH17" s="14"/>
      <c r="BDI17" s="14"/>
      <c r="BDJ17" s="14"/>
      <c r="BDK17" s="14"/>
      <c r="BDL17" s="14"/>
      <c r="BDM17" s="14"/>
      <c r="BDN17" s="14"/>
      <c r="BDO17" s="14"/>
      <c r="BDP17" s="14"/>
      <c r="BDQ17" s="14"/>
      <c r="BDR17" s="14"/>
      <c r="BDS17" s="14"/>
      <c r="BDT17" s="14"/>
      <c r="BDU17" s="14"/>
      <c r="BDV17" s="14"/>
      <c r="BDW17" s="14"/>
      <c r="BDX17" s="14"/>
      <c r="BDY17" s="14"/>
      <c r="BDZ17" s="14"/>
      <c r="BEA17" s="14"/>
      <c r="BEB17" s="14"/>
      <c r="BEC17" s="14"/>
      <c r="BED17" s="14"/>
      <c r="BEE17" s="14"/>
      <c r="BEF17" s="14"/>
      <c r="BEG17" s="14"/>
      <c r="BEH17" s="14"/>
      <c r="BEI17" s="14"/>
      <c r="BEJ17" s="14"/>
      <c r="BEK17" s="14"/>
      <c r="BEL17" s="14"/>
      <c r="BEM17" s="14"/>
      <c r="BEN17" s="14"/>
      <c r="BEO17" s="14"/>
      <c r="BEP17" s="14"/>
      <c r="BEQ17" s="14"/>
      <c r="BER17" s="14"/>
      <c r="BES17" s="14"/>
      <c r="BET17" s="14"/>
      <c r="BEU17" s="14"/>
      <c r="BEV17" s="14"/>
      <c r="BEW17" s="14"/>
      <c r="BEX17" s="14"/>
      <c r="BEY17" s="14"/>
      <c r="BEZ17" s="14"/>
      <c r="BFA17" s="14"/>
      <c r="BFB17" s="14"/>
      <c r="BFC17" s="14"/>
      <c r="BFD17" s="14"/>
      <c r="BFE17" s="14"/>
      <c r="BFF17" s="14"/>
      <c r="BFG17" s="14"/>
      <c r="BFH17" s="14"/>
      <c r="BFI17" s="14"/>
      <c r="BFJ17" s="14"/>
      <c r="BFK17" s="14"/>
      <c r="BFL17" s="14"/>
      <c r="BFM17" s="14"/>
      <c r="BFN17" s="14"/>
      <c r="BFO17" s="14"/>
      <c r="BFP17" s="14"/>
      <c r="BFQ17" s="14"/>
      <c r="BFR17" s="14"/>
      <c r="BFS17" s="14"/>
      <c r="BFT17" s="14"/>
      <c r="BFU17" s="14"/>
      <c r="BFV17" s="14"/>
      <c r="BFW17" s="14"/>
      <c r="BFX17" s="14"/>
      <c r="BFY17" s="14"/>
      <c r="BFZ17" s="14"/>
      <c r="BGA17" s="14"/>
      <c r="BGB17" s="14"/>
      <c r="BGC17" s="14"/>
      <c r="BGD17" s="14"/>
      <c r="BGE17" s="14"/>
      <c r="BGF17" s="14"/>
      <c r="BGG17" s="14"/>
      <c r="BGH17" s="14"/>
      <c r="BGI17" s="14"/>
      <c r="BGJ17" s="14"/>
      <c r="BGK17" s="14"/>
      <c r="BGL17" s="14"/>
      <c r="BGM17" s="14"/>
      <c r="BGN17" s="14"/>
      <c r="BGO17" s="14"/>
      <c r="BGP17" s="14"/>
      <c r="BGQ17" s="14"/>
      <c r="BGR17" s="14"/>
      <c r="BGS17" s="14"/>
      <c r="BGT17" s="14"/>
      <c r="BGU17" s="14"/>
      <c r="BGV17" s="14"/>
      <c r="BGW17" s="14"/>
      <c r="BGX17" s="14"/>
      <c r="BGY17" s="14"/>
      <c r="BGZ17" s="14"/>
      <c r="BHA17" s="14"/>
      <c r="BHB17" s="14"/>
      <c r="BHC17" s="14"/>
      <c r="BHD17" s="14"/>
      <c r="BHE17" s="14"/>
      <c r="BHF17" s="14"/>
      <c r="BHG17" s="14"/>
      <c r="BHH17" s="14"/>
      <c r="BHI17" s="14"/>
      <c r="BHJ17" s="14"/>
      <c r="BHK17" s="14"/>
      <c r="BHL17" s="14"/>
      <c r="BHM17" s="14"/>
      <c r="BHN17" s="14"/>
      <c r="BHO17" s="14"/>
      <c r="BHP17" s="14"/>
      <c r="BHQ17" s="14"/>
      <c r="BHR17" s="14"/>
      <c r="BHS17" s="14"/>
      <c r="BHT17" s="14"/>
      <c r="BHU17" s="14"/>
      <c r="BHV17" s="14"/>
      <c r="BHW17" s="14"/>
      <c r="BHX17" s="14"/>
      <c r="BHY17" s="14"/>
      <c r="BHZ17" s="14"/>
      <c r="BIA17" s="14"/>
      <c r="BIB17" s="14"/>
      <c r="BIC17" s="14"/>
      <c r="BID17" s="14"/>
      <c r="BIE17" s="14"/>
      <c r="BIF17" s="14"/>
      <c r="BIG17" s="14"/>
      <c r="BIH17" s="14"/>
      <c r="BII17" s="14"/>
      <c r="BIJ17" s="14"/>
      <c r="BIK17" s="14"/>
      <c r="BIL17" s="14"/>
      <c r="BIM17" s="14"/>
      <c r="BIN17" s="14"/>
      <c r="BIO17" s="14"/>
      <c r="BIP17" s="14"/>
      <c r="BIQ17" s="14"/>
      <c r="BIR17" s="14"/>
      <c r="BIS17" s="14"/>
      <c r="BIT17" s="14"/>
      <c r="BIU17" s="14"/>
      <c r="BIV17" s="14"/>
      <c r="BIW17" s="14"/>
      <c r="BIX17" s="14"/>
      <c r="BIY17" s="14"/>
      <c r="BIZ17" s="14"/>
      <c r="BJA17" s="14"/>
      <c r="BJB17" s="14"/>
      <c r="BJC17" s="14"/>
      <c r="BJD17" s="14"/>
      <c r="BJE17" s="14"/>
      <c r="BJF17" s="14"/>
      <c r="BJG17" s="14"/>
      <c r="BJH17" s="14"/>
      <c r="BJI17" s="14"/>
      <c r="BJJ17" s="14"/>
      <c r="BJK17" s="14"/>
      <c r="BJL17" s="14"/>
      <c r="BJM17" s="14"/>
      <c r="BJN17" s="14"/>
      <c r="BJO17" s="14"/>
      <c r="BJP17" s="14"/>
      <c r="BJQ17" s="14"/>
      <c r="BJR17" s="14"/>
      <c r="BJS17" s="14"/>
      <c r="BJT17" s="14"/>
      <c r="BJU17" s="14"/>
      <c r="BJV17" s="14"/>
      <c r="BJW17" s="14"/>
      <c r="BJX17" s="14"/>
      <c r="BJY17" s="14"/>
      <c r="BJZ17" s="14"/>
      <c r="BKA17" s="14"/>
      <c r="BKB17" s="14"/>
      <c r="BKC17" s="14"/>
      <c r="BKD17" s="14"/>
      <c r="BKE17" s="14"/>
      <c r="BKF17" s="14"/>
      <c r="BKG17" s="14"/>
      <c r="BKH17" s="14"/>
      <c r="BKI17" s="14"/>
      <c r="BKJ17" s="14"/>
      <c r="BKK17" s="14"/>
      <c r="BKL17" s="14"/>
      <c r="BKM17" s="14"/>
      <c r="BKN17" s="14"/>
      <c r="BKO17" s="14"/>
      <c r="BKP17" s="14"/>
      <c r="BKQ17" s="14"/>
      <c r="BKR17" s="14"/>
      <c r="BKS17" s="14"/>
      <c r="BKT17" s="14"/>
      <c r="BKU17" s="14"/>
      <c r="BKV17" s="14"/>
      <c r="BKW17" s="14"/>
      <c r="BKX17" s="14"/>
      <c r="BKY17" s="14"/>
      <c r="BKZ17" s="14"/>
      <c r="BLA17" s="14"/>
      <c r="BLB17" s="14"/>
      <c r="BLC17" s="14"/>
      <c r="BLD17" s="14"/>
      <c r="BLE17" s="14"/>
      <c r="BLF17" s="14"/>
      <c r="BLG17" s="14"/>
      <c r="BLH17" s="14"/>
      <c r="BLI17" s="14"/>
      <c r="BLJ17" s="14"/>
      <c r="BLK17" s="14"/>
      <c r="BLL17" s="14"/>
      <c r="BLM17" s="14"/>
      <c r="BLN17" s="14"/>
      <c r="BLO17" s="14"/>
      <c r="BLP17" s="14"/>
      <c r="BLQ17" s="14"/>
      <c r="BLR17" s="14"/>
      <c r="BLS17" s="14"/>
      <c r="BLT17" s="14"/>
      <c r="BLU17" s="14"/>
      <c r="BLV17" s="14"/>
      <c r="BLW17" s="14"/>
      <c r="BLX17" s="14"/>
      <c r="BLY17" s="14"/>
      <c r="BLZ17" s="14"/>
      <c r="BMA17" s="14"/>
      <c r="BMB17" s="14"/>
      <c r="BMC17" s="14"/>
      <c r="BMD17" s="14"/>
      <c r="BME17" s="14"/>
      <c r="BMF17" s="14"/>
      <c r="BMG17" s="14"/>
      <c r="BMH17" s="14"/>
      <c r="BMI17" s="14"/>
      <c r="BMJ17" s="14"/>
      <c r="BMK17" s="14"/>
      <c r="BML17" s="14"/>
      <c r="BMM17" s="14"/>
      <c r="BMN17" s="14"/>
      <c r="BMO17" s="14"/>
      <c r="BMP17" s="14"/>
      <c r="BMQ17" s="14"/>
      <c r="BMR17" s="14"/>
      <c r="BMS17" s="14"/>
      <c r="BMT17" s="14"/>
      <c r="BMU17" s="14"/>
      <c r="BMV17" s="14"/>
      <c r="BMW17" s="14"/>
      <c r="BMX17" s="14"/>
      <c r="BMY17" s="14"/>
      <c r="BMZ17" s="14"/>
      <c r="BNA17" s="14"/>
      <c r="BNB17" s="14"/>
      <c r="BNC17" s="14"/>
      <c r="BND17" s="14"/>
      <c r="BNE17" s="14"/>
      <c r="BNF17" s="14"/>
      <c r="BNG17" s="14"/>
      <c r="BNH17" s="14"/>
      <c r="BNI17" s="14"/>
      <c r="BNJ17" s="14"/>
      <c r="BNK17" s="14"/>
      <c r="BNL17" s="14"/>
      <c r="BNM17" s="14"/>
      <c r="BNN17" s="14"/>
      <c r="BNO17" s="14"/>
      <c r="BNP17" s="14"/>
      <c r="BNQ17" s="14"/>
      <c r="BNR17" s="14"/>
      <c r="BNS17" s="14"/>
      <c r="BNT17" s="14"/>
      <c r="BNU17" s="14"/>
      <c r="BNV17" s="14"/>
      <c r="BNW17" s="14"/>
      <c r="BNX17" s="14"/>
      <c r="BNY17" s="14"/>
      <c r="BNZ17" s="14"/>
      <c r="BOA17" s="14"/>
      <c r="BOB17" s="14"/>
      <c r="BOC17" s="14"/>
      <c r="BOD17" s="14"/>
      <c r="BOE17" s="14"/>
      <c r="BOF17" s="14"/>
      <c r="BOG17" s="14"/>
      <c r="BOH17" s="14"/>
      <c r="BOI17" s="14"/>
      <c r="BOJ17" s="14"/>
      <c r="BOK17" s="14"/>
      <c r="BOL17" s="14"/>
      <c r="BOM17" s="14"/>
      <c r="BON17" s="14"/>
      <c r="BOO17" s="14"/>
      <c r="BOP17" s="14"/>
      <c r="BOQ17" s="14"/>
      <c r="BOR17" s="14"/>
      <c r="BOS17" s="14"/>
      <c r="BOT17" s="14"/>
      <c r="BOU17" s="14"/>
      <c r="BOV17" s="14"/>
      <c r="BOW17" s="14"/>
      <c r="BOX17" s="14"/>
      <c r="BOY17" s="14"/>
      <c r="BOZ17" s="14"/>
      <c r="BPA17" s="14"/>
      <c r="BPB17" s="14"/>
      <c r="BPC17" s="14"/>
      <c r="BPD17" s="14"/>
      <c r="BPE17" s="14"/>
      <c r="BPF17" s="14"/>
      <c r="BPG17" s="14"/>
      <c r="BPH17" s="14"/>
      <c r="BPI17" s="14"/>
      <c r="BPJ17" s="14"/>
      <c r="BPK17" s="14"/>
      <c r="BPL17" s="14"/>
      <c r="BPM17" s="14"/>
      <c r="BPN17" s="14"/>
      <c r="BPO17" s="14"/>
      <c r="BPP17" s="14"/>
      <c r="BPQ17" s="14"/>
      <c r="BPR17" s="14"/>
      <c r="BPS17" s="14"/>
      <c r="BPT17" s="14"/>
      <c r="BPU17" s="14"/>
      <c r="BPV17" s="14"/>
      <c r="BPW17" s="14"/>
      <c r="BPX17" s="14"/>
      <c r="BPY17" s="14"/>
      <c r="BPZ17" s="14"/>
      <c r="BQA17" s="14"/>
      <c r="BQB17" s="14"/>
      <c r="BQC17" s="14"/>
      <c r="BQD17" s="14"/>
      <c r="BQE17" s="14"/>
      <c r="BQF17" s="14"/>
      <c r="BQG17" s="14"/>
      <c r="BQH17" s="14"/>
      <c r="BQI17" s="14"/>
      <c r="BQJ17" s="14"/>
      <c r="BQK17" s="14"/>
      <c r="BQL17" s="14"/>
      <c r="BQM17" s="14"/>
      <c r="BQN17" s="14"/>
      <c r="BQO17" s="14"/>
      <c r="BQP17" s="14"/>
      <c r="BQQ17" s="14"/>
      <c r="BQR17" s="14"/>
      <c r="BQS17" s="14"/>
      <c r="BQT17" s="14"/>
      <c r="BQU17" s="14"/>
      <c r="BQV17" s="14"/>
      <c r="BQW17" s="14"/>
      <c r="BQX17" s="14"/>
      <c r="BQY17" s="14"/>
      <c r="BQZ17" s="14"/>
      <c r="BRA17" s="14"/>
      <c r="BRB17" s="14"/>
      <c r="BRC17" s="14"/>
      <c r="BRD17" s="14"/>
      <c r="BRE17" s="14"/>
      <c r="BRF17" s="14"/>
      <c r="BRG17" s="14"/>
      <c r="BRH17" s="14"/>
      <c r="BRI17" s="14"/>
      <c r="BRJ17" s="14"/>
      <c r="BRK17" s="14"/>
      <c r="BRL17" s="14"/>
      <c r="BRM17" s="14"/>
      <c r="BRN17" s="14"/>
      <c r="BRO17" s="14"/>
      <c r="BRP17" s="14"/>
      <c r="BRQ17" s="14"/>
      <c r="BRR17" s="14"/>
      <c r="BRS17" s="14"/>
      <c r="BRT17" s="14"/>
      <c r="BRU17" s="14"/>
      <c r="BRV17" s="14"/>
      <c r="BRW17" s="14"/>
      <c r="BRX17" s="14"/>
      <c r="BRY17" s="14"/>
      <c r="BRZ17" s="14"/>
      <c r="BSA17" s="14"/>
      <c r="BSB17" s="14"/>
      <c r="BSC17" s="14"/>
      <c r="BSD17" s="14"/>
      <c r="BSE17" s="14"/>
      <c r="BSF17" s="14"/>
      <c r="BSG17" s="14"/>
      <c r="BSH17" s="14"/>
      <c r="BSI17" s="14"/>
      <c r="BSJ17" s="14"/>
      <c r="BSK17" s="14"/>
      <c r="BSL17" s="14"/>
      <c r="BSM17" s="14"/>
      <c r="BSN17" s="14"/>
      <c r="BSO17" s="14"/>
      <c r="BSP17" s="14"/>
      <c r="BSQ17" s="14"/>
      <c r="BSR17" s="14"/>
      <c r="BSS17" s="14"/>
      <c r="BST17" s="14"/>
      <c r="BSU17" s="14"/>
      <c r="BSV17" s="14"/>
      <c r="BSW17" s="14"/>
      <c r="BSX17" s="14"/>
      <c r="BSY17" s="14"/>
      <c r="BSZ17" s="14"/>
      <c r="BTA17" s="14"/>
      <c r="BTB17" s="14"/>
      <c r="BTC17" s="14"/>
      <c r="BTD17" s="14"/>
      <c r="BTE17" s="14"/>
      <c r="BTF17" s="14"/>
      <c r="BTG17" s="14"/>
      <c r="BTH17" s="14"/>
      <c r="BTI17" s="14"/>
      <c r="BTJ17" s="14"/>
      <c r="BTK17" s="14"/>
      <c r="BTL17" s="14"/>
      <c r="BTM17" s="14"/>
      <c r="BTN17" s="14"/>
      <c r="BTO17" s="14"/>
      <c r="BTP17" s="14"/>
      <c r="BTQ17" s="14"/>
      <c r="BTR17" s="14"/>
      <c r="BTS17" s="14"/>
      <c r="BTT17" s="14"/>
      <c r="BTU17" s="14"/>
      <c r="BTV17" s="14"/>
      <c r="BTW17" s="14"/>
      <c r="BTX17" s="14"/>
      <c r="BTY17" s="14"/>
      <c r="BTZ17" s="14"/>
      <c r="BUA17" s="14"/>
      <c r="BUB17" s="14"/>
      <c r="BUC17" s="14"/>
      <c r="BUD17" s="14"/>
      <c r="BUE17" s="14"/>
      <c r="BUF17" s="14"/>
      <c r="BUG17" s="14"/>
      <c r="BUH17" s="14"/>
      <c r="BUI17" s="14"/>
      <c r="BUJ17" s="14"/>
      <c r="BUK17" s="14"/>
      <c r="BUL17" s="14"/>
      <c r="BUM17" s="14"/>
      <c r="BUN17" s="14"/>
      <c r="BUO17" s="14"/>
      <c r="BUP17" s="14"/>
      <c r="BUQ17" s="14"/>
      <c r="BUR17" s="14"/>
      <c r="BUS17" s="14"/>
      <c r="BUT17" s="14"/>
      <c r="BUU17" s="14"/>
      <c r="BUV17" s="14"/>
      <c r="BUW17" s="14"/>
      <c r="BUX17" s="14"/>
      <c r="BUY17" s="14"/>
      <c r="BUZ17" s="14"/>
      <c r="BVA17" s="14"/>
      <c r="BVB17" s="14"/>
      <c r="BVC17" s="14"/>
      <c r="BVD17" s="14"/>
      <c r="BVE17" s="14"/>
      <c r="BVF17" s="14"/>
      <c r="BVG17" s="14"/>
      <c r="BVH17" s="14"/>
      <c r="BVI17" s="14"/>
      <c r="BVJ17" s="14"/>
      <c r="BVK17" s="14"/>
      <c r="BVL17" s="14"/>
      <c r="BVM17" s="14"/>
      <c r="BVN17" s="14"/>
      <c r="BVO17" s="14"/>
      <c r="BVP17" s="14"/>
      <c r="BVQ17" s="14"/>
      <c r="BVR17" s="14"/>
      <c r="BVS17" s="14"/>
      <c r="BVT17" s="14"/>
      <c r="BVU17" s="14"/>
      <c r="BVV17" s="14"/>
      <c r="BVW17" s="14"/>
      <c r="BVX17" s="14"/>
      <c r="BVY17" s="14"/>
      <c r="BVZ17" s="14"/>
      <c r="BWA17" s="14"/>
      <c r="BWB17" s="14"/>
      <c r="BWC17" s="14"/>
      <c r="BWD17" s="14"/>
      <c r="BWE17" s="14"/>
      <c r="BWF17" s="14"/>
      <c r="BWG17" s="14"/>
      <c r="BWH17" s="14"/>
      <c r="BWI17" s="14"/>
      <c r="BWJ17" s="14"/>
      <c r="BWK17" s="14"/>
      <c r="BWL17" s="14"/>
      <c r="BWM17" s="14"/>
      <c r="BWN17" s="14"/>
      <c r="BWO17" s="14"/>
      <c r="BWP17" s="14"/>
      <c r="BWQ17" s="14"/>
      <c r="BWR17" s="14"/>
      <c r="BWS17" s="14"/>
      <c r="BWT17" s="14"/>
      <c r="BWU17" s="14"/>
      <c r="BWV17" s="14"/>
      <c r="BWW17" s="14"/>
      <c r="BWX17" s="14"/>
      <c r="BWY17" s="14"/>
      <c r="BWZ17" s="14"/>
      <c r="BXA17" s="14"/>
      <c r="BXB17" s="14"/>
      <c r="BXC17" s="14"/>
      <c r="BXD17" s="14"/>
      <c r="BXE17" s="14"/>
      <c r="BXF17" s="14"/>
      <c r="BXG17" s="14"/>
      <c r="BXH17" s="14"/>
      <c r="BXI17" s="14"/>
      <c r="BXJ17" s="14"/>
      <c r="BXK17" s="14"/>
      <c r="BXL17" s="14"/>
      <c r="BXM17" s="14"/>
      <c r="BXN17" s="14"/>
      <c r="BXO17" s="14"/>
      <c r="BXP17" s="14"/>
      <c r="BXQ17" s="14"/>
      <c r="BXR17" s="14"/>
      <c r="BXS17" s="14"/>
      <c r="BXT17" s="14"/>
      <c r="BXU17" s="14"/>
      <c r="BXV17" s="14"/>
      <c r="BXW17" s="14"/>
      <c r="BXX17" s="14"/>
      <c r="BXY17" s="14"/>
      <c r="BXZ17" s="14"/>
      <c r="BYA17" s="14"/>
      <c r="BYB17" s="14"/>
      <c r="BYC17" s="14"/>
      <c r="BYD17" s="14"/>
      <c r="BYE17" s="14"/>
      <c r="BYF17" s="14"/>
      <c r="BYG17" s="14"/>
      <c r="BYH17" s="14"/>
      <c r="BYI17" s="14"/>
      <c r="BYJ17" s="14"/>
      <c r="BYK17" s="14"/>
      <c r="BYL17" s="14"/>
      <c r="BYM17" s="14"/>
      <c r="BYN17" s="14"/>
      <c r="BYO17" s="14"/>
      <c r="BYP17" s="14"/>
      <c r="BYQ17" s="14"/>
      <c r="BYR17" s="14"/>
      <c r="BYS17" s="14"/>
      <c r="BYT17" s="14"/>
      <c r="BYU17" s="14"/>
      <c r="BYV17" s="14"/>
      <c r="BYW17" s="14"/>
      <c r="BYX17" s="14"/>
      <c r="BYY17" s="14"/>
      <c r="BYZ17" s="14"/>
      <c r="BZA17" s="14"/>
      <c r="BZB17" s="14"/>
      <c r="BZC17" s="14"/>
      <c r="BZD17" s="14"/>
      <c r="BZE17" s="14"/>
      <c r="BZF17" s="14"/>
      <c r="BZG17" s="14"/>
      <c r="BZH17" s="14"/>
      <c r="BZI17" s="14"/>
      <c r="BZJ17" s="14"/>
      <c r="BZK17" s="14"/>
      <c r="BZL17" s="14"/>
      <c r="BZM17" s="14"/>
      <c r="BZN17" s="14"/>
      <c r="BZO17" s="14"/>
      <c r="BZP17" s="14"/>
      <c r="BZQ17" s="14"/>
      <c r="BZR17" s="14"/>
      <c r="BZS17" s="14"/>
      <c r="BZT17" s="14"/>
      <c r="BZU17" s="14"/>
      <c r="BZV17" s="14"/>
      <c r="BZW17" s="14"/>
      <c r="BZX17" s="14"/>
      <c r="BZY17" s="14"/>
      <c r="BZZ17" s="14"/>
      <c r="CAA17" s="14"/>
      <c r="CAB17" s="14"/>
      <c r="CAC17" s="14"/>
      <c r="CAD17" s="14"/>
      <c r="CAE17" s="14"/>
      <c r="CAF17" s="14"/>
      <c r="CAG17" s="14"/>
      <c r="CAH17" s="14"/>
      <c r="CAI17" s="14"/>
      <c r="CAJ17" s="14"/>
      <c r="CAK17" s="14"/>
      <c r="CAL17" s="14"/>
      <c r="CAM17" s="14"/>
      <c r="CAN17" s="14"/>
      <c r="CAO17" s="14"/>
      <c r="CAP17" s="14"/>
      <c r="CAQ17" s="14"/>
      <c r="CAR17" s="14"/>
      <c r="CAS17" s="14"/>
      <c r="CAT17" s="14"/>
      <c r="CAU17" s="14"/>
      <c r="CAV17" s="14"/>
      <c r="CAW17" s="14"/>
      <c r="CAX17" s="14"/>
      <c r="CAY17" s="14"/>
      <c r="CAZ17" s="14"/>
      <c r="CBA17" s="14"/>
      <c r="CBB17" s="14"/>
      <c r="CBC17" s="14"/>
      <c r="CBD17" s="14"/>
      <c r="CBE17" s="14"/>
      <c r="CBF17" s="14"/>
      <c r="CBG17" s="14"/>
      <c r="CBH17" s="14"/>
      <c r="CBI17" s="14"/>
      <c r="CBJ17" s="14"/>
      <c r="CBK17" s="14"/>
      <c r="CBL17" s="14"/>
      <c r="CBM17" s="14"/>
      <c r="CBN17" s="14"/>
      <c r="CBO17" s="14"/>
      <c r="CBP17" s="14"/>
      <c r="CBQ17" s="14"/>
      <c r="CBR17" s="14"/>
      <c r="CBS17" s="14"/>
      <c r="CBT17" s="14"/>
      <c r="CBU17" s="14"/>
      <c r="CBV17" s="14"/>
      <c r="CBW17" s="14"/>
      <c r="CBX17" s="14"/>
      <c r="CBY17" s="14"/>
      <c r="CBZ17" s="14"/>
      <c r="CCA17" s="14"/>
      <c r="CCB17" s="14"/>
      <c r="CCC17" s="14"/>
      <c r="CCD17" s="14"/>
      <c r="CCE17" s="14"/>
      <c r="CCF17" s="14"/>
      <c r="CCG17" s="14"/>
      <c r="CCH17" s="14"/>
      <c r="CCI17" s="14"/>
      <c r="CCJ17" s="14"/>
      <c r="CCK17" s="14"/>
      <c r="CCL17" s="14"/>
      <c r="CCM17" s="14"/>
      <c r="CCN17" s="14"/>
      <c r="CCO17" s="14"/>
      <c r="CCP17" s="14"/>
      <c r="CCQ17" s="14"/>
      <c r="CCR17" s="14"/>
      <c r="CCS17" s="14"/>
      <c r="CCT17" s="14"/>
      <c r="CCU17" s="14"/>
      <c r="CCV17" s="14"/>
      <c r="CCW17" s="14"/>
      <c r="CCX17" s="14"/>
      <c r="CCY17" s="14"/>
      <c r="CCZ17" s="14"/>
      <c r="CDA17" s="14"/>
      <c r="CDB17" s="14"/>
      <c r="CDC17" s="14"/>
      <c r="CDD17" s="14"/>
      <c r="CDE17" s="14"/>
      <c r="CDF17" s="14"/>
      <c r="CDG17" s="14"/>
      <c r="CDH17" s="14"/>
      <c r="CDI17" s="14"/>
      <c r="CDJ17" s="14"/>
      <c r="CDK17" s="14"/>
      <c r="CDL17" s="14"/>
      <c r="CDM17" s="14"/>
      <c r="CDN17" s="14"/>
      <c r="CDO17" s="14"/>
      <c r="CDP17" s="14"/>
      <c r="CDQ17" s="14"/>
      <c r="CDR17" s="14"/>
      <c r="CDS17" s="14"/>
      <c r="CDT17" s="14"/>
      <c r="CDU17" s="14"/>
      <c r="CDV17" s="14"/>
      <c r="CDW17" s="14"/>
      <c r="CDX17" s="14"/>
      <c r="CDY17" s="14"/>
      <c r="CDZ17" s="14"/>
      <c r="CEA17" s="14"/>
      <c r="CEB17" s="14"/>
      <c r="CEC17" s="14"/>
      <c r="CED17" s="14"/>
      <c r="CEE17" s="14"/>
      <c r="CEF17" s="14"/>
      <c r="CEG17" s="14"/>
      <c r="CEH17" s="14"/>
      <c r="CEI17" s="14"/>
      <c r="CEJ17" s="14"/>
      <c r="CEK17" s="14"/>
      <c r="CEL17" s="14"/>
      <c r="CEM17" s="14"/>
      <c r="CEN17" s="14"/>
      <c r="CEO17" s="14"/>
      <c r="CEP17" s="14"/>
      <c r="CEQ17" s="14"/>
      <c r="CER17" s="14"/>
      <c r="CES17" s="14"/>
      <c r="CET17" s="14"/>
      <c r="CEU17" s="14"/>
      <c r="CEV17" s="14"/>
      <c r="CEW17" s="14"/>
      <c r="CEX17" s="14"/>
      <c r="CEY17" s="14"/>
      <c r="CEZ17" s="14"/>
      <c r="CFA17" s="14"/>
      <c r="CFB17" s="14"/>
      <c r="CFC17" s="14"/>
      <c r="CFD17" s="14"/>
      <c r="CFE17" s="14"/>
      <c r="CFF17" s="14"/>
      <c r="CFG17" s="14"/>
      <c r="CFH17" s="14"/>
      <c r="CFI17" s="14"/>
      <c r="CFJ17" s="14"/>
      <c r="CFK17" s="14"/>
      <c r="CFL17" s="14"/>
      <c r="CFM17" s="14"/>
      <c r="CFN17" s="14"/>
      <c r="CFO17" s="14"/>
      <c r="CFP17" s="14"/>
      <c r="CFQ17" s="14"/>
      <c r="CFR17" s="14"/>
      <c r="CFS17" s="14"/>
      <c r="CFT17" s="14"/>
      <c r="CFU17" s="14"/>
      <c r="CFV17" s="14"/>
      <c r="CFW17" s="14"/>
      <c r="CFX17" s="14"/>
      <c r="CFY17" s="14"/>
      <c r="CFZ17" s="14"/>
      <c r="CGA17" s="14"/>
      <c r="CGB17" s="14"/>
      <c r="CGC17" s="14"/>
      <c r="CGD17" s="14"/>
      <c r="CGE17" s="14"/>
      <c r="CGF17" s="14"/>
      <c r="CGG17" s="14"/>
      <c r="CGH17" s="14"/>
      <c r="CGI17" s="14"/>
      <c r="CGJ17" s="14"/>
      <c r="CGK17" s="14"/>
      <c r="CGL17" s="14"/>
      <c r="CGM17" s="14"/>
      <c r="CGN17" s="14"/>
      <c r="CGO17" s="14"/>
      <c r="CGP17" s="14"/>
      <c r="CGQ17" s="14"/>
      <c r="CGR17" s="14"/>
      <c r="CGS17" s="14"/>
      <c r="CGT17" s="14"/>
      <c r="CGU17" s="14"/>
      <c r="CGV17" s="14"/>
      <c r="CGW17" s="14"/>
      <c r="CGX17" s="14"/>
      <c r="CGY17" s="14"/>
      <c r="CGZ17" s="14"/>
      <c r="CHA17" s="14"/>
      <c r="CHB17" s="14"/>
      <c r="CHC17" s="14"/>
      <c r="CHD17" s="14"/>
      <c r="CHE17" s="14"/>
      <c r="CHF17" s="14"/>
      <c r="CHG17" s="14"/>
      <c r="CHH17" s="14"/>
      <c r="CHI17" s="14"/>
      <c r="CHJ17" s="14"/>
      <c r="CHK17" s="14"/>
      <c r="CHL17" s="14"/>
      <c r="CHM17" s="14"/>
      <c r="CHN17" s="14"/>
      <c r="CHO17" s="14"/>
      <c r="CHP17" s="14"/>
      <c r="CHQ17" s="14"/>
      <c r="CHR17" s="14"/>
      <c r="CHS17" s="14"/>
      <c r="CHT17" s="14"/>
      <c r="CHU17" s="14"/>
      <c r="CHV17" s="14"/>
      <c r="CHW17" s="14"/>
      <c r="CHX17" s="14"/>
      <c r="CHY17" s="14"/>
      <c r="CHZ17" s="14"/>
      <c r="CIA17" s="14"/>
      <c r="CIB17" s="14"/>
      <c r="CIC17" s="14"/>
      <c r="CID17" s="14"/>
      <c r="CIE17" s="14"/>
      <c r="CIF17" s="14"/>
      <c r="CIG17" s="14"/>
      <c r="CIH17" s="14"/>
      <c r="CII17" s="14"/>
      <c r="CIJ17" s="14"/>
      <c r="CIK17" s="14"/>
      <c r="CIL17" s="14"/>
      <c r="CIM17" s="14"/>
      <c r="CIN17" s="14"/>
      <c r="CIO17" s="14"/>
      <c r="CIP17" s="14"/>
      <c r="CIQ17" s="14"/>
      <c r="CIR17" s="14"/>
      <c r="CIS17" s="14"/>
      <c r="CIT17" s="14"/>
      <c r="CIU17" s="14"/>
      <c r="CIV17" s="14"/>
      <c r="CIW17" s="14"/>
      <c r="CIX17" s="14"/>
      <c r="CIY17" s="14"/>
      <c r="CIZ17" s="14"/>
      <c r="CJA17" s="14"/>
      <c r="CJB17" s="14"/>
      <c r="CJC17" s="14"/>
      <c r="CJD17" s="14"/>
      <c r="CJE17" s="14"/>
      <c r="CJF17" s="14"/>
      <c r="CJG17" s="14"/>
      <c r="CJH17" s="14"/>
      <c r="CJI17" s="14"/>
      <c r="CJJ17" s="14"/>
      <c r="CJK17" s="14"/>
      <c r="CJL17" s="14"/>
      <c r="CJM17" s="14"/>
      <c r="CJN17" s="14"/>
      <c r="CJO17" s="14"/>
      <c r="CJP17" s="14"/>
      <c r="CJQ17" s="14"/>
      <c r="CJR17" s="14"/>
      <c r="CJS17" s="14"/>
      <c r="CJT17" s="14"/>
      <c r="CJU17" s="14"/>
      <c r="CJV17" s="14"/>
      <c r="CJW17" s="14"/>
      <c r="CJX17" s="14"/>
      <c r="CJY17" s="14"/>
      <c r="CJZ17" s="14"/>
      <c r="CKA17" s="14"/>
      <c r="CKB17" s="14"/>
      <c r="CKC17" s="14"/>
      <c r="CKD17" s="14"/>
      <c r="CKE17" s="14"/>
      <c r="CKF17" s="14"/>
      <c r="CKG17" s="14"/>
      <c r="CKH17" s="14"/>
      <c r="CKI17" s="14"/>
      <c r="CKJ17" s="14"/>
      <c r="CKK17" s="14"/>
      <c r="CKL17" s="14"/>
      <c r="CKM17" s="14"/>
      <c r="CKN17" s="14"/>
      <c r="CKO17" s="14"/>
      <c r="CKP17" s="14"/>
      <c r="CKQ17" s="14"/>
      <c r="CKR17" s="14"/>
      <c r="CKS17" s="14"/>
      <c r="CKT17" s="14"/>
      <c r="CKU17" s="14"/>
      <c r="CKV17" s="14"/>
      <c r="CKW17" s="14"/>
      <c r="CKX17" s="14"/>
      <c r="CKY17" s="14"/>
      <c r="CKZ17" s="14"/>
      <c r="CLA17" s="14"/>
      <c r="CLB17" s="14"/>
      <c r="CLC17" s="14"/>
      <c r="CLD17" s="14"/>
      <c r="CLE17" s="14"/>
      <c r="CLF17" s="14"/>
      <c r="CLG17" s="14"/>
      <c r="CLH17" s="14"/>
      <c r="CLI17" s="14"/>
      <c r="CLJ17" s="14"/>
      <c r="CLK17" s="14"/>
      <c r="CLL17" s="14"/>
      <c r="CLM17" s="14"/>
      <c r="CLN17" s="14"/>
      <c r="CLO17" s="14"/>
      <c r="CLP17" s="14"/>
      <c r="CLQ17" s="14"/>
      <c r="CLR17" s="14"/>
      <c r="CLS17" s="14"/>
      <c r="CLT17" s="14"/>
      <c r="CLU17" s="14"/>
      <c r="CLV17" s="14"/>
      <c r="CLW17" s="14"/>
      <c r="CLX17" s="14"/>
      <c r="CLY17" s="14"/>
      <c r="CLZ17" s="14"/>
      <c r="CMA17" s="14"/>
      <c r="CMB17" s="14"/>
      <c r="CMC17" s="14"/>
      <c r="CMD17" s="14"/>
      <c r="CME17" s="14"/>
      <c r="CMF17" s="14"/>
      <c r="CMG17" s="14"/>
      <c r="CMH17" s="14"/>
      <c r="CMI17" s="14"/>
      <c r="CMJ17" s="14"/>
      <c r="CMK17" s="14"/>
      <c r="CML17" s="14"/>
      <c r="CMM17" s="14"/>
      <c r="CMN17" s="14"/>
      <c r="CMO17" s="14"/>
      <c r="CMP17" s="14"/>
      <c r="CMQ17" s="14"/>
      <c r="CMR17" s="14"/>
      <c r="CMS17" s="14"/>
      <c r="CMT17" s="14"/>
      <c r="CMU17" s="14"/>
      <c r="CMV17" s="14"/>
      <c r="CMW17" s="14"/>
      <c r="CMX17" s="14"/>
      <c r="CMY17" s="14"/>
      <c r="CMZ17" s="14"/>
      <c r="CNA17" s="14"/>
      <c r="CNB17" s="14"/>
      <c r="CNC17" s="14"/>
      <c r="CND17" s="14"/>
      <c r="CNE17" s="14"/>
      <c r="CNF17" s="14"/>
      <c r="CNG17" s="14"/>
      <c r="CNH17" s="14"/>
      <c r="CNI17" s="14"/>
      <c r="CNJ17" s="14"/>
      <c r="CNK17" s="14"/>
      <c r="CNL17" s="14"/>
      <c r="CNM17" s="14"/>
      <c r="CNN17" s="14"/>
      <c r="CNO17" s="14"/>
      <c r="CNP17" s="14"/>
      <c r="CNQ17" s="14"/>
      <c r="CNR17" s="14"/>
      <c r="CNS17" s="14"/>
      <c r="CNT17" s="14"/>
      <c r="CNU17" s="14"/>
      <c r="CNV17" s="14"/>
      <c r="CNW17" s="14"/>
      <c r="CNX17" s="14"/>
      <c r="CNY17" s="14"/>
      <c r="CNZ17" s="14"/>
      <c r="COA17" s="14"/>
      <c r="COB17" s="14"/>
      <c r="COC17" s="14"/>
      <c r="COD17" s="14"/>
      <c r="COE17" s="14"/>
      <c r="COF17" s="14"/>
      <c r="COG17" s="14"/>
      <c r="COH17" s="14"/>
      <c r="COI17" s="14"/>
      <c r="COJ17" s="14"/>
      <c r="COK17" s="14"/>
      <c r="COL17" s="14"/>
      <c r="COM17" s="14"/>
      <c r="CON17" s="14"/>
      <c r="COO17" s="14"/>
      <c r="COP17" s="14"/>
      <c r="COQ17" s="14"/>
      <c r="COR17" s="14"/>
      <c r="COS17" s="14"/>
      <c r="COT17" s="14"/>
      <c r="COU17" s="14"/>
      <c r="COV17" s="14"/>
      <c r="COW17" s="14"/>
      <c r="COX17" s="14"/>
      <c r="COY17" s="14"/>
      <c r="COZ17" s="14"/>
      <c r="CPA17" s="14"/>
      <c r="CPB17" s="14"/>
      <c r="CPC17" s="14"/>
      <c r="CPD17" s="14"/>
      <c r="CPE17" s="14"/>
      <c r="CPF17" s="14"/>
      <c r="CPG17" s="14"/>
      <c r="CPH17" s="14"/>
      <c r="CPI17" s="14"/>
      <c r="CPJ17" s="14"/>
      <c r="CPK17" s="14"/>
      <c r="CPL17" s="14"/>
      <c r="CPM17" s="14"/>
      <c r="CPN17" s="14"/>
      <c r="CPO17" s="14"/>
      <c r="CPP17" s="14"/>
      <c r="CPQ17" s="14"/>
      <c r="CPR17" s="14"/>
      <c r="CPS17" s="14"/>
      <c r="CPT17" s="14"/>
      <c r="CPU17" s="14"/>
      <c r="CPV17" s="14"/>
      <c r="CPW17" s="14"/>
      <c r="CPX17" s="14"/>
      <c r="CPY17" s="14"/>
      <c r="CPZ17" s="14"/>
      <c r="CQA17" s="14"/>
      <c r="CQB17" s="14"/>
      <c r="CQC17" s="14"/>
      <c r="CQD17" s="14"/>
      <c r="CQE17" s="14"/>
      <c r="CQF17" s="14"/>
      <c r="CQG17" s="14"/>
      <c r="CQH17" s="14"/>
      <c r="CQI17" s="14"/>
      <c r="CQJ17" s="14"/>
      <c r="CQK17" s="14"/>
      <c r="CQL17" s="14"/>
      <c r="CQM17" s="14"/>
      <c r="CQN17" s="14"/>
      <c r="CQO17" s="14"/>
      <c r="CQP17" s="14"/>
      <c r="CQQ17" s="14"/>
      <c r="CQR17" s="14"/>
      <c r="CQS17" s="14"/>
      <c r="CQT17" s="14"/>
      <c r="CQU17" s="14"/>
      <c r="CQV17" s="14"/>
      <c r="CQW17" s="14"/>
      <c r="CQX17" s="14"/>
      <c r="CQY17" s="14"/>
      <c r="CQZ17" s="14"/>
      <c r="CRA17" s="14"/>
      <c r="CRB17" s="14"/>
      <c r="CRC17" s="14"/>
      <c r="CRD17" s="14"/>
      <c r="CRE17" s="14"/>
      <c r="CRF17" s="14"/>
      <c r="CRG17" s="14"/>
      <c r="CRH17" s="14"/>
      <c r="CRI17" s="14"/>
      <c r="CRJ17" s="14"/>
      <c r="CRK17" s="14"/>
      <c r="CRL17" s="14"/>
      <c r="CRM17" s="14"/>
      <c r="CRN17" s="14"/>
      <c r="CRO17" s="14"/>
      <c r="CRP17" s="14"/>
      <c r="CRQ17" s="14"/>
      <c r="CRR17" s="14"/>
      <c r="CRS17" s="14"/>
      <c r="CRT17" s="14"/>
      <c r="CRU17" s="14"/>
      <c r="CRV17" s="14"/>
      <c r="CRW17" s="14"/>
      <c r="CRX17" s="14"/>
      <c r="CRY17" s="14"/>
      <c r="CRZ17" s="14"/>
      <c r="CSA17" s="14"/>
      <c r="CSB17" s="14"/>
      <c r="CSC17" s="14"/>
      <c r="CSD17" s="14"/>
      <c r="CSE17" s="14"/>
      <c r="CSF17" s="14"/>
      <c r="CSG17" s="14"/>
      <c r="CSH17" s="14"/>
      <c r="CSI17" s="14"/>
      <c r="CSJ17" s="14"/>
      <c r="CSK17" s="14"/>
      <c r="CSL17" s="14"/>
      <c r="CSM17" s="14"/>
      <c r="CSN17" s="14"/>
      <c r="CSO17" s="14"/>
      <c r="CSP17" s="14"/>
      <c r="CSQ17" s="14"/>
      <c r="CSR17" s="14"/>
      <c r="CSS17" s="14"/>
      <c r="CST17" s="14"/>
      <c r="CSU17" s="14"/>
      <c r="CSV17" s="14"/>
      <c r="CSW17" s="14"/>
      <c r="CSX17" s="14"/>
      <c r="CSY17" s="14"/>
      <c r="CSZ17" s="14"/>
      <c r="CTA17" s="14"/>
      <c r="CTB17" s="14"/>
      <c r="CTC17" s="14"/>
      <c r="CTD17" s="14"/>
      <c r="CTE17" s="14"/>
      <c r="CTF17" s="14"/>
      <c r="CTG17" s="14"/>
      <c r="CTH17" s="14"/>
      <c r="CTI17" s="14"/>
      <c r="CTJ17" s="14"/>
      <c r="CTK17" s="14"/>
      <c r="CTL17" s="14"/>
      <c r="CTM17" s="14"/>
      <c r="CTN17" s="14"/>
      <c r="CTO17" s="14"/>
      <c r="CTP17" s="14"/>
      <c r="CTQ17" s="14"/>
      <c r="CTR17" s="14"/>
      <c r="CTS17" s="14"/>
      <c r="CTT17" s="14"/>
      <c r="CTU17" s="14"/>
      <c r="CTV17" s="14"/>
      <c r="CTW17" s="14"/>
      <c r="CTX17" s="14"/>
      <c r="CTY17" s="14"/>
      <c r="CTZ17" s="14"/>
      <c r="CUA17" s="14"/>
      <c r="CUB17" s="14"/>
      <c r="CUC17" s="14"/>
      <c r="CUD17" s="14"/>
      <c r="CUE17" s="14"/>
      <c r="CUF17" s="14"/>
      <c r="CUG17" s="14"/>
      <c r="CUH17" s="14"/>
      <c r="CUI17" s="14"/>
      <c r="CUJ17" s="14"/>
      <c r="CUK17" s="14"/>
      <c r="CUL17" s="14"/>
      <c r="CUM17" s="14"/>
      <c r="CUN17" s="14"/>
      <c r="CUO17" s="14"/>
      <c r="CUP17" s="14"/>
      <c r="CUQ17" s="14"/>
      <c r="CUR17" s="14"/>
      <c r="CUS17" s="14"/>
      <c r="CUT17" s="14"/>
      <c r="CUU17" s="14"/>
      <c r="CUV17" s="14"/>
      <c r="CUW17" s="14"/>
      <c r="CUX17" s="14"/>
      <c r="CUY17" s="14"/>
      <c r="CUZ17" s="14"/>
      <c r="CVA17" s="14"/>
      <c r="CVB17" s="14"/>
      <c r="CVC17" s="14"/>
      <c r="CVD17" s="14"/>
      <c r="CVE17" s="14"/>
      <c r="CVF17" s="14"/>
      <c r="CVG17" s="14"/>
      <c r="CVH17" s="14"/>
      <c r="CVI17" s="14"/>
      <c r="CVJ17" s="14"/>
      <c r="CVK17" s="14"/>
      <c r="CVL17" s="14"/>
      <c r="CVM17" s="14"/>
      <c r="CVN17" s="14"/>
      <c r="CVO17" s="14"/>
      <c r="CVP17" s="14"/>
      <c r="CVQ17" s="14"/>
      <c r="CVR17" s="14"/>
      <c r="CVS17" s="14"/>
      <c r="CVT17" s="14"/>
      <c r="CVU17" s="14"/>
      <c r="CVV17" s="14"/>
      <c r="CVW17" s="14"/>
      <c r="CVX17" s="14"/>
      <c r="CVY17" s="14"/>
      <c r="CVZ17" s="14"/>
      <c r="CWA17" s="14"/>
      <c r="CWB17" s="14"/>
      <c r="CWC17" s="14"/>
      <c r="CWD17" s="14"/>
      <c r="CWE17" s="14"/>
      <c r="CWF17" s="14"/>
      <c r="CWG17" s="14"/>
      <c r="CWH17" s="14"/>
      <c r="CWI17" s="14"/>
      <c r="CWJ17" s="14"/>
      <c r="CWK17" s="14"/>
      <c r="CWL17" s="14"/>
      <c r="CWM17" s="14"/>
      <c r="CWN17" s="14"/>
      <c r="CWO17" s="14"/>
      <c r="CWP17" s="14"/>
      <c r="CWQ17" s="14"/>
      <c r="CWR17" s="14"/>
      <c r="CWS17" s="14"/>
      <c r="CWT17" s="14"/>
      <c r="CWU17" s="14"/>
      <c r="CWV17" s="14"/>
      <c r="CWW17" s="14"/>
      <c r="CWX17" s="14"/>
      <c r="CWY17" s="14"/>
      <c r="CWZ17" s="14"/>
      <c r="CXA17" s="14"/>
      <c r="CXB17" s="14"/>
      <c r="CXC17" s="14"/>
      <c r="CXD17" s="14"/>
      <c r="CXE17" s="14"/>
      <c r="CXF17" s="14"/>
      <c r="CXG17" s="14"/>
      <c r="CXH17" s="14"/>
      <c r="CXI17" s="14"/>
      <c r="CXJ17" s="14"/>
      <c r="CXK17" s="14"/>
      <c r="CXL17" s="14"/>
      <c r="CXM17" s="14"/>
      <c r="CXN17" s="14"/>
      <c r="CXO17" s="14"/>
      <c r="CXP17" s="14"/>
      <c r="CXQ17" s="14"/>
      <c r="CXR17" s="14"/>
      <c r="CXS17" s="14"/>
      <c r="CXT17" s="14"/>
      <c r="CXU17" s="14"/>
      <c r="CXV17" s="14"/>
      <c r="CXW17" s="14"/>
      <c r="CXX17" s="14"/>
      <c r="CXY17" s="14"/>
      <c r="CXZ17" s="14"/>
      <c r="CYA17" s="14"/>
      <c r="CYB17" s="14"/>
      <c r="CYC17" s="14"/>
      <c r="CYD17" s="14"/>
      <c r="CYE17" s="14"/>
      <c r="CYF17" s="14"/>
      <c r="CYG17" s="14"/>
      <c r="CYH17" s="14"/>
      <c r="CYI17" s="14"/>
      <c r="CYJ17" s="14"/>
      <c r="CYK17" s="14"/>
      <c r="CYL17" s="14"/>
      <c r="CYM17" s="14"/>
      <c r="CYN17" s="14"/>
      <c r="CYO17" s="14"/>
      <c r="CYP17" s="14"/>
      <c r="CYQ17" s="14"/>
      <c r="CYR17" s="14"/>
      <c r="CYS17" s="14"/>
      <c r="CYT17" s="14"/>
      <c r="CYU17" s="14"/>
      <c r="CYV17" s="14"/>
      <c r="CYW17" s="14"/>
      <c r="CYX17" s="14"/>
      <c r="CYY17" s="14"/>
      <c r="CYZ17" s="14"/>
      <c r="CZA17" s="14"/>
      <c r="CZB17" s="14"/>
      <c r="CZC17" s="14"/>
      <c r="CZD17" s="14"/>
      <c r="CZE17" s="14"/>
      <c r="CZF17" s="14"/>
      <c r="CZG17" s="14"/>
      <c r="CZH17" s="14"/>
      <c r="CZI17" s="14"/>
      <c r="CZJ17" s="14"/>
      <c r="CZK17" s="14"/>
      <c r="CZL17" s="14"/>
      <c r="CZM17" s="14"/>
      <c r="CZN17" s="14"/>
      <c r="CZO17" s="14"/>
      <c r="CZP17" s="14"/>
      <c r="CZQ17" s="14"/>
      <c r="CZR17" s="14"/>
      <c r="CZS17" s="14"/>
      <c r="CZT17" s="14"/>
      <c r="CZU17" s="14"/>
      <c r="CZV17" s="14"/>
      <c r="CZW17" s="14"/>
      <c r="CZX17" s="14"/>
      <c r="CZY17" s="14"/>
      <c r="CZZ17" s="14"/>
      <c r="DAA17" s="14"/>
      <c r="DAB17" s="14"/>
      <c r="DAC17" s="14"/>
      <c r="DAD17" s="14"/>
      <c r="DAE17" s="14"/>
      <c r="DAF17" s="14"/>
      <c r="DAG17" s="14"/>
      <c r="DAH17" s="14"/>
      <c r="DAI17" s="14"/>
      <c r="DAJ17" s="14"/>
      <c r="DAK17" s="14"/>
      <c r="DAL17" s="14"/>
      <c r="DAM17" s="14"/>
      <c r="DAN17" s="14"/>
      <c r="DAO17" s="14"/>
      <c r="DAP17" s="14"/>
      <c r="DAQ17" s="14"/>
      <c r="DAR17" s="14"/>
      <c r="DAS17" s="14"/>
      <c r="DAT17" s="14"/>
      <c r="DAU17" s="14"/>
      <c r="DAV17" s="14"/>
      <c r="DAW17" s="14"/>
      <c r="DAX17" s="14"/>
      <c r="DAY17" s="14"/>
      <c r="DAZ17" s="14"/>
      <c r="DBA17" s="14"/>
      <c r="DBB17" s="14"/>
      <c r="DBC17" s="14"/>
      <c r="DBD17" s="14"/>
      <c r="DBE17" s="14"/>
      <c r="DBF17" s="14"/>
      <c r="DBG17" s="14"/>
      <c r="DBH17" s="14"/>
      <c r="DBI17" s="14"/>
      <c r="DBJ17" s="14"/>
      <c r="DBK17" s="14"/>
      <c r="DBL17" s="14"/>
      <c r="DBM17" s="14"/>
      <c r="DBN17" s="14"/>
      <c r="DBO17" s="14"/>
      <c r="DBP17" s="14"/>
      <c r="DBQ17" s="14"/>
      <c r="DBR17" s="14"/>
      <c r="DBS17" s="14"/>
      <c r="DBT17" s="14"/>
      <c r="DBU17" s="14"/>
      <c r="DBV17" s="14"/>
      <c r="DBW17" s="14"/>
      <c r="DBX17" s="14"/>
      <c r="DBY17" s="14"/>
      <c r="DBZ17" s="14"/>
      <c r="DCA17" s="14"/>
      <c r="DCB17" s="14"/>
      <c r="DCC17" s="14"/>
      <c r="DCD17" s="14"/>
      <c r="DCE17" s="14"/>
      <c r="DCF17" s="14"/>
      <c r="DCG17" s="14"/>
      <c r="DCH17" s="14"/>
      <c r="DCI17" s="14"/>
      <c r="DCJ17" s="14"/>
      <c r="DCK17" s="14"/>
      <c r="DCL17" s="14"/>
      <c r="DCM17" s="14"/>
      <c r="DCN17" s="14"/>
      <c r="DCO17" s="14"/>
      <c r="DCP17" s="14"/>
      <c r="DCQ17" s="14"/>
      <c r="DCR17" s="14"/>
      <c r="DCS17" s="14"/>
      <c r="DCT17" s="14"/>
      <c r="DCU17" s="14"/>
      <c r="DCV17" s="14"/>
      <c r="DCW17" s="14"/>
      <c r="DCX17" s="14"/>
      <c r="DCY17" s="14"/>
      <c r="DCZ17" s="14"/>
      <c r="DDA17" s="14"/>
      <c r="DDB17" s="14"/>
      <c r="DDC17" s="14"/>
      <c r="DDD17" s="14"/>
      <c r="DDE17" s="14"/>
      <c r="DDF17" s="14"/>
      <c r="DDG17" s="14"/>
      <c r="DDH17" s="14"/>
      <c r="DDI17" s="14"/>
      <c r="DDJ17" s="14"/>
      <c r="DDK17" s="14"/>
      <c r="DDL17" s="14"/>
      <c r="DDM17" s="14"/>
      <c r="DDN17" s="14"/>
      <c r="DDO17" s="14"/>
      <c r="DDP17" s="14"/>
      <c r="DDQ17" s="14"/>
      <c r="DDR17" s="14"/>
      <c r="DDS17" s="14"/>
      <c r="DDT17" s="14"/>
      <c r="DDU17" s="14"/>
      <c r="DDV17" s="14"/>
      <c r="DDW17" s="14"/>
      <c r="DDX17" s="14"/>
      <c r="DDY17" s="14"/>
      <c r="DDZ17" s="14"/>
      <c r="DEA17" s="14"/>
      <c r="DEB17" s="14"/>
      <c r="DEC17" s="14"/>
      <c r="DED17" s="14"/>
      <c r="DEE17" s="14"/>
      <c r="DEF17" s="14"/>
      <c r="DEG17" s="14"/>
      <c r="DEH17" s="14"/>
      <c r="DEI17" s="14"/>
      <c r="DEJ17" s="14"/>
      <c r="DEK17" s="14"/>
      <c r="DEL17" s="14"/>
      <c r="DEM17" s="14"/>
      <c r="DEN17" s="14"/>
      <c r="DEO17" s="14"/>
      <c r="DEP17" s="14"/>
      <c r="DEQ17" s="14"/>
      <c r="DER17" s="14"/>
      <c r="DES17" s="14"/>
      <c r="DET17" s="14"/>
      <c r="DEU17" s="14"/>
      <c r="DEV17" s="14"/>
      <c r="DEW17" s="14"/>
      <c r="DEX17" s="14"/>
      <c r="DEY17" s="14"/>
      <c r="DEZ17" s="14"/>
      <c r="DFA17" s="14"/>
      <c r="DFB17" s="14"/>
      <c r="DFC17" s="14"/>
      <c r="DFD17" s="14"/>
      <c r="DFE17" s="14"/>
      <c r="DFF17" s="14"/>
      <c r="DFG17" s="14"/>
      <c r="DFH17" s="14"/>
      <c r="DFI17" s="14"/>
      <c r="DFJ17" s="14"/>
      <c r="DFK17" s="14"/>
      <c r="DFL17" s="14"/>
      <c r="DFM17" s="14"/>
      <c r="DFN17" s="14"/>
      <c r="DFO17" s="14"/>
      <c r="DFP17" s="14"/>
      <c r="DFQ17" s="14"/>
      <c r="DFR17" s="14"/>
      <c r="DFS17" s="14"/>
      <c r="DFT17" s="14"/>
      <c r="DFU17" s="14"/>
      <c r="DFV17" s="14"/>
      <c r="DFW17" s="14"/>
      <c r="DFX17" s="14"/>
      <c r="DFY17" s="14"/>
      <c r="DFZ17" s="14"/>
      <c r="DGA17" s="14"/>
      <c r="DGB17" s="14"/>
      <c r="DGC17" s="14"/>
      <c r="DGD17" s="14"/>
      <c r="DGE17" s="14"/>
      <c r="DGF17" s="14"/>
      <c r="DGG17" s="14"/>
      <c r="DGH17" s="14"/>
      <c r="DGI17" s="14"/>
      <c r="DGJ17" s="14"/>
      <c r="DGK17" s="14"/>
      <c r="DGL17" s="14"/>
      <c r="DGM17" s="14"/>
      <c r="DGN17" s="14"/>
      <c r="DGO17" s="14"/>
      <c r="DGP17" s="14"/>
      <c r="DGQ17" s="14"/>
      <c r="DGR17" s="14"/>
      <c r="DGS17" s="14"/>
      <c r="DGT17" s="14"/>
      <c r="DGU17" s="14"/>
      <c r="DGV17" s="14"/>
      <c r="DGW17" s="14"/>
      <c r="DGX17" s="14"/>
      <c r="DGY17" s="14"/>
      <c r="DGZ17" s="14"/>
      <c r="DHA17" s="14"/>
      <c r="DHB17" s="14"/>
      <c r="DHC17" s="14"/>
      <c r="DHD17" s="14"/>
      <c r="DHE17" s="14"/>
      <c r="DHF17" s="14"/>
      <c r="DHG17" s="14"/>
      <c r="DHH17" s="14"/>
      <c r="DHI17" s="14"/>
      <c r="DHJ17" s="14"/>
      <c r="DHK17" s="14"/>
      <c r="DHL17" s="14"/>
      <c r="DHM17" s="14"/>
      <c r="DHN17" s="14"/>
      <c r="DHO17" s="14"/>
      <c r="DHP17" s="14"/>
      <c r="DHQ17" s="14"/>
      <c r="DHR17" s="14"/>
      <c r="DHS17" s="14"/>
      <c r="DHT17" s="14"/>
      <c r="DHU17" s="14"/>
      <c r="DHV17" s="14"/>
      <c r="DHW17" s="14"/>
      <c r="DHX17" s="14"/>
      <c r="DHY17" s="14"/>
      <c r="DHZ17" s="14"/>
      <c r="DIA17" s="14"/>
      <c r="DIB17" s="14"/>
      <c r="DIC17" s="14"/>
      <c r="DID17" s="14"/>
      <c r="DIE17" s="14"/>
      <c r="DIF17" s="14"/>
      <c r="DIG17" s="14"/>
      <c r="DIH17" s="14"/>
      <c r="DII17" s="14"/>
      <c r="DIJ17" s="14"/>
      <c r="DIK17" s="14"/>
      <c r="DIL17" s="14"/>
      <c r="DIM17" s="14"/>
      <c r="DIN17" s="14"/>
      <c r="DIO17" s="14"/>
      <c r="DIP17" s="14"/>
      <c r="DIQ17" s="14"/>
      <c r="DIR17" s="14"/>
      <c r="DIS17" s="14"/>
      <c r="DIT17" s="14"/>
      <c r="DIU17" s="14"/>
      <c r="DIV17" s="14"/>
      <c r="DIW17" s="14"/>
      <c r="DIX17" s="14"/>
      <c r="DIY17" s="14"/>
      <c r="DIZ17" s="14"/>
      <c r="DJA17" s="14"/>
      <c r="DJB17" s="14"/>
      <c r="DJC17" s="14"/>
      <c r="DJD17" s="14"/>
      <c r="DJE17" s="14"/>
      <c r="DJF17" s="14"/>
      <c r="DJG17" s="14"/>
      <c r="DJH17" s="14"/>
      <c r="DJI17" s="14"/>
      <c r="DJJ17" s="14"/>
      <c r="DJK17" s="14"/>
      <c r="DJL17" s="14"/>
      <c r="DJM17" s="14"/>
      <c r="DJN17" s="14"/>
      <c r="DJO17" s="14"/>
      <c r="DJP17" s="14"/>
      <c r="DJQ17" s="14"/>
      <c r="DJR17" s="14"/>
      <c r="DJS17" s="14"/>
      <c r="DJT17" s="14"/>
      <c r="DJU17" s="14"/>
      <c r="DJV17" s="14"/>
      <c r="DJW17" s="14"/>
      <c r="DJX17" s="14"/>
      <c r="DJY17" s="14"/>
      <c r="DJZ17" s="14"/>
      <c r="DKA17" s="14"/>
      <c r="DKB17" s="14"/>
      <c r="DKC17" s="14"/>
      <c r="DKD17" s="14"/>
      <c r="DKE17" s="14"/>
      <c r="DKF17" s="14"/>
      <c r="DKG17" s="14"/>
      <c r="DKH17" s="14"/>
      <c r="DKI17" s="14"/>
      <c r="DKJ17" s="14"/>
      <c r="DKK17" s="14"/>
      <c r="DKL17" s="14"/>
      <c r="DKM17" s="14"/>
      <c r="DKN17" s="14"/>
      <c r="DKO17" s="14"/>
      <c r="DKP17" s="14"/>
      <c r="DKQ17" s="14"/>
      <c r="DKR17" s="14"/>
      <c r="DKS17" s="14"/>
      <c r="DKT17" s="14"/>
      <c r="DKU17" s="14"/>
      <c r="DKV17" s="14"/>
      <c r="DKW17" s="14"/>
      <c r="DKX17" s="14"/>
      <c r="DKY17" s="14"/>
      <c r="DKZ17" s="14"/>
      <c r="DLA17" s="14"/>
      <c r="DLB17" s="14"/>
      <c r="DLC17" s="14"/>
      <c r="DLD17" s="14"/>
      <c r="DLE17" s="14"/>
      <c r="DLF17" s="14"/>
      <c r="DLG17" s="14"/>
      <c r="DLH17" s="14"/>
      <c r="DLI17" s="14"/>
      <c r="DLJ17" s="14"/>
      <c r="DLK17" s="14"/>
      <c r="DLL17" s="14"/>
      <c r="DLM17" s="14"/>
      <c r="DLN17" s="14"/>
      <c r="DLO17" s="14"/>
      <c r="DLP17" s="14"/>
      <c r="DLQ17" s="14"/>
      <c r="DLR17" s="14"/>
      <c r="DLS17" s="14"/>
      <c r="DLT17" s="14"/>
      <c r="DLU17" s="14"/>
      <c r="DLV17" s="14"/>
      <c r="DLW17" s="14"/>
      <c r="DLX17" s="14"/>
      <c r="DLY17" s="14"/>
      <c r="DLZ17" s="14"/>
      <c r="DMA17" s="14"/>
      <c r="DMB17" s="14"/>
      <c r="DMC17" s="14"/>
      <c r="DMD17" s="14"/>
      <c r="DME17" s="14"/>
      <c r="DMF17" s="14"/>
      <c r="DMG17" s="14"/>
      <c r="DMH17" s="14"/>
      <c r="DMI17" s="14"/>
      <c r="DMJ17" s="14"/>
      <c r="DMK17" s="14"/>
      <c r="DML17" s="14"/>
      <c r="DMM17" s="14"/>
      <c r="DMN17" s="14"/>
      <c r="DMO17" s="14"/>
      <c r="DMP17" s="14"/>
      <c r="DMQ17" s="14"/>
      <c r="DMR17" s="14"/>
      <c r="DMS17" s="14"/>
      <c r="DMT17" s="14"/>
      <c r="DMU17" s="14"/>
      <c r="DMV17" s="14"/>
      <c r="DMW17" s="14"/>
      <c r="DMX17" s="14"/>
      <c r="DMY17" s="14"/>
      <c r="DMZ17" s="14"/>
      <c r="DNA17" s="14"/>
      <c r="DNB17" s="14"/>
      <c r="DNC17" s="14"/>
      <c r="DND17" s="14"/>
      <c r="DNE17" s="14"/>
      <c r="DNF17" s="14"/>
      <c r="DNG17" s="14"/>
      <c r="DNH17" s="14"/>
      <c r="DNI17" s="14"/>
      <c r="DNJ17" s="14"/>
      <c r="DNK17" s="14"/>
      <c r="DNL17" s="14"/>
      <c r="DNM17" s="14"/>
      <c r="DNN17" s="14"/>
      <c r="DNO17" s="14"/>
      <c r="DNP17" s="14"/>
      <c r="DNQ17" s="14"/>
      <c r="DNR17" s="14"/>
      <c r="DNS17" s="14"/>
      <c r="DNT17" s="14"/>
      <c r="DNU17" s="14"/>
      <c r="DNV17" s="14"/>
      <c r="DNW17" s="14"/>
      <c r="DNX17" s="14"/>
      <c r="DNY17" s="14"/>
      <c r="DNZ17" s="14"/>
      <c r="DOA17" s="14"/>
      <c r="DOB17" s="14"/>
      <c r="DOC17" s="14"/>
      <c r="DOD17" s="14"/>
      <c r="DOE17" s="14"/>
      <c r="DOF17" s="14"/>
      <c r="DOG17" s="14"/>
      <c r="DOH17" s="14"/>
      <c r="DOI17" s="14"/>
      <c r="DOJ17" s="14"/>
      <c r="DOK17" s="14"/>
      <c r="DOL17" s="14"/>
      <c r="DOM17" s="14"/>
      <c r="DON17" s="14"/>
      <c r="DOO17" s="14"/>
      <c r="DOP17" s="14"/>
      <c r="DOQ17" s="14"/>
      <c r="DOR17" s="14"/>
      <c r="DOS17" s="14"/>
      <c r="DOT17" s="14"/>
      <c r="DOU17" s="14"/>
      <c r="DOV17" s="14"/>
      <c r="DOW17" s="14"/>
      <c r="DOX17" s="14"/>
      <c r="DOY17" s="14"/>
      <c r="DOZ17" s="14"/>
      <c r="DPA17" s="14"/>
      <c r="DPB17" s="14"/>
      <c r="DPC17" s="14"/>
      <c r="DPD17" s="14"/>
      <c r="DPE17" s="14"/>
      <c r="DPF17" s="14"/>
      <c r="DPG17" s="14"/>
      <c r="DPH17" s="14"/>
      <c r="DPI17" s="14"/>
      <c r="DPJ17" s="14"/>
      <c r="DPK17" s="14"/>
      <c r="DPL17" s="14"/>
      <c r="DPM17" s="14"/>
      <c r="DPN17" s="14"/>
      <c r="DPO17" s="14"/>
      <c r="DPP17" s="14"/>
      <c r="DPQ17" s="14"/>
      <c r="DPR17" s="14"/>
      <c r="DPS17" s="14"/>
      <c r="DPT17" s="14"/>
      <c r="DPU17" s="14"/>
      <c r="DPV17" s="14"/>
      <c r="DPW17" s="14"/>
      <c r="DPX17" s="14"/>
      <c r="DPY17" s="14"/>
      <c r="DPZ17" s="14"/>
      <c r="DQA17" s="14"/>
      <c r="DQB17" s="14"/>
      <c r="DQC17" s="14"/>
      <c r="DQD17" s="14"/>
      <c r="DQE17" s="14"/>
      <c r="DQF17" s="14"/>
      <c r="DQG17" s="14"/>
      <c r="DQH17" s="14"/>
      <c r="DQI17" s="14"/>
      <c r="DQJ17" s="14"/>
      <c r="DQK17" s="14"/>
      <c r="DQL17" s="14"/>
      <c r="DQM17" s="14"/>
      <c r="DQN17" s="14"/>
      <c r="DQO17" s="14"/>
      <c r="DQP17" s="14"/>
      <c r="DQQ17" s="14"/>
      <c r="DQR17" s="14"/>
      <c r="DQS17" s="14"/>
      <c r="DQT17" s="14"/>
      <c r="DQU17" s="14"/>
      <c r="DQV17" s="14"/>
      <c r="DQW17" s="14"/>
      <c r="DQX17" s="14"/>
      <c r="DQY17" s="14"/>
      <c r="DQZ17" s="14"/>
      <c r="DRA17" s="14"/>
      <c r="DRB17" s="14"/>
      <c r="DRC17" s="14"/>
      <c r="DRD17" s="14"/>
      <c r="DRE17" s="14"/>
      <c r="DRF17" s="14"/>
      <c r="DRG17" s="14"/>
      <c r="DRH17" s="14"/>
      <c r="DRI17" s="14"/>
      <c r="DRJ17" s="14"/>
      <c r="DRK17" s="14"/>
      <c r="DRL17" s="14"/>
      <c r="DRM17" s="14"/>
      <c r="DRN17" s="14"/>
      <c r="DRO17" s="14"/>
      <c r="DRP17" s="14"/>
      <c r="DRQ17" s="14"/>
      <c r="DRR17" s="14"/>
      <c r="DRS17" s="14"/>
      <c r="DRT17" s="14"/>
      <c r="DRU17" s="14"/>
      <c r="DRV17" s="14"/>
      <c r="DRW17" s="14"/>
      <c r="DRX17" s="14"/>
      <c r="DRY17" s="14"/>
      <c r="DRZ17" s="14"/>
      <c r="DSA17" s="14"/>
      <c r="DSB17" s="14"/>
      <c r="DSC17" s="14"/>
      <c r="DSD17" s="14"/>
      <c r="DSE17" s="14"/>
      <c r="DSF17" s="14"/>
      <c r="DSG17" s="14"/>
      <c r="DSH17" s="14"/>
      <c r="DSI17" s="14"/>
      <c r="DSJ17" s="14"/>
      <c r="DSK17" s="14"/>
      <c r="DSL17" s="14"/>
      <c r="DSM17" s="14"/>
      <c r="DSN17" s="14"/>
      <c r="DSO17" s="14"/>
      <c r="DSP17" s="14"/>
      <c r="DSQ17" s="14"/>
      <c r="DSR17" s="14"/>
      <c r="DSS17" s="14"/>
      <c r="DST17" s="14"/>
      <c r="DSU17" s="14"/>
      <c r="DSV17" s="14"/>
      <c r="DSW17" s="14"/>
      <c r="DSX17" s="14"/>
      <c r="DSY17" s="14"/>
      <c r="DSZ17" s="14"/>
      <c r="DTA17" s="14"/>
      <c r="DTB17" s="14"/>
      <c r="DTC17" s="14"/>
      <c r="DTD17" s="14"/>
      <c r="DTE17" s="14"/>
      <c r="DTF17" s="14"/>
      <c r="DTG17" s="14"/>
      <c r="DTH17" s="14"/>
      <c r="DTI17" s="14"/>
      <c r="DTJ17" s="14"/>
      <c r="DTK17" s="14"/>
      <c r="DTL17" s="14"/>
      <c r="DTM17" s="14"/>
      <c r="DTN17" s="14"/>
      <c r="DTO17" s="14"/>
      <c r="DTP17" s="14"/>
      <c r="DTQ17" s="14"/>
      <c r="DTR17" s="14"/>
      <c r="DTS17" s="14"/>
      <c r="DTT17" s="14"/>
      <c r="DTU17" s="14"/>
      <c r="DTV17" s="14"/>
      <c r="DTW17" s="14"/>
      <c r="DTX17" s="14"/>
      <c r="DTY17" s="14"/>
      <c r="DTZ17" s="14"/>
      <c r="DUA17" s="14"/>
      <c r="DUB17" s="14"/>
      <c r="DUC17" s="14"/>
      <c r="DUD17" s="14"/>
      <c r="DUE17" s="14"/>
      <c r="DUF17" s="14"/>
      <c r="DUG17" s="14"/>
      <c r="DUH17" s="14"/>
      <c r="DUI17" s="14"/>
      <c r="DUJ17" s="14"/>
      <c r="DUK17" s="14"/>
      <c r="DUL17" s="14"/>
      <c r="DUM17" s="14"/>
      <c r="DUN17" s="14"/>
      <c r="DUO17" s="14"/>
      <c r="DUP17" s="14"/>
      <c r="DUQ17" s="14"/>
      <c r="DUR17" s="14"/>
      <c r="DUS17" s="14"/>
      <c r="DUT17" s="14"/>
      <c r="DUU17" s="14"/>
      <c r="DUV17" s="14"/>
      <c r="DUW17" s="14"/>
      <c r="DUX17" s="14"/>
      <c r="DUY17" s="14"/>
      <c r="DUZ17" s="14"/>
      <c r="DVA17" s="14"/>
      <c r="DVB17" s="14"/>
      <c r="DVC17" s="14"/>
      <c r="DVD17" s="14"/>
      <c r="DVE17" s="14"/>
      <c r="DVF17" s="14"/>
      <c r="DVG17" s="14"/>
      <c r="DVH17" s="14"/>
      <c r="DVI17" s="14"/>
      <c r="DVJ17" s="14"/>
      <c r="DVK17" s="14"/>
      <c r="DVL17" s="14"/>
      <c r="DVM17" s="14"/>
      <c r="DVN17" s="14"/>
      <c r="DVO17" s="14"/>
      <c r="DVP17" s="14"/>
      <c r="DVQ17" s="14"/>
      <c r="DVR17" s="14"/>
      <c r="DVS17" s="14"/>
      <c r="DVT17" s="14"/>
      <c r="DVU17" s="14"/>
      <c r="DVV17" s="14"/>
      <c r="DVW17" s="14"/>
      <c r="DVX17" s="14"/>
      <c r="DVY17" s="14"/>
      <c r="DVZ17" s="14"/>
      <c r="DWA17" s="14"/>
      <c r="DWB17" s="14"/>
      <c r="DWC17" s="14"/>
      <c r="DWD17" s="14"/>
      <c r="DWE17" s="14"/>
      <c r="DWF17" s="14"/>
      <c r="DWG17" s="14"/>
      <c r="DWH17" s="14"/>
      <c r="DWI17" s="14"/>
      <c r="DWJ17" s="14"/>
      <c r="DWK17" s="14"/>
      <c r="DWL17" s="14"/>
      <c r="DWM17" s="14"/>
      <c r="DWN17" s="14"/>
      <c r="DWO17" s="14"/>
      <c r="DWP17" s="14"/>
      <c r="DWQ17" s="14"/>
      <c r="DWR17" s="14"/>
      <c r="DWS17" s="14"/>
      <c r="DWT17" s="14"/>
      <c r="DWU17" s="14"/>
      <c r="DWV17" s="14"/>
      <c r="DWW17" s="14"/>
      <c r="DWX17" s="14"/>
      <c r="DWY17" s="14"/>
      <c r="DWZ17" s="14"/>
      <c r="DXA17" s="14"/>
      <c r="DXB17" s="14"/>
      <c r="DXC17" s="14"/>
      <c r="DXD17" s="14"/>
      <c r="DXE17" s="14"/>
      <c r="DXF17" s="14"/>
      <c r="DXG17" s="14"/>
      <c r="DXH17" s="14"/>
      <c r="DXI17" s="14"/>
      <c r="DXJ17" s="14"/>
      <c r="DXK17" s="14"/>
      <c r="DXL17" s="14"/>
      <c r="DXM17" s="14"/>
      <c r="DXN17" s="14"/>
      <c r="DXO17" s="14"/>
      <c r="DXP17" s="14"/>
      <c r="DXQ17" s="14"/>
      <c r="DXR17" s="14"/>
      <c r="DXS17" s="14"/>
      <c r="DXT17" s="14"/>
      <c r="DXU17" s="14"/>
      <c r="DXV17" s="14"/>
      <c r="DXW17" s="14"/>
      <c r="DXX17" s="14"/>
      <c r="DXY17" s="14"/>
      <c r="DXZ17" s="14"/>
      <c r="DYA17" s="14"/>
      <c r="DYB17" s="14"/>
      <c r="DYC17" s="14"/>
      <c r="DYD17" s="14"/>
      <c r="DYE17" s="14"/>
      <c r="DYF17" s="14"/>
      <c r="DYG17" s="14"/>
      <c r="DYH17" s="14"/>
      <c r="DYI17" s="14"/>
      <c r="DYJ17" s="14"/>
      <c r="DYK17" s="14"/>
      <c r="DYL17" s="14"/>
      <c r="DYM17" s="14"/>
      <c r="DYN17" s="14"/>
      <c r="DYO17" s="14"/>
      <c r="DYP17" s="14"/>
      <c r="DYQ17" s="14"/>
      <c r="DYR17" s="14"/>
      <c r="DYS17" s="14"/>
      <c r="DYT17" s="14"/>
      <c r="DYU17" s="14"/>
      <c r="DYV17" s="14"/>
      <c r="DYW17" s="14"/>
      <c r="DYX17" s="14"/>
      <c r="DYY17" s="14"/>
      <c r="DYZ17" s="14"/>
      <c r="DZA17" s="14"/>
      <c r="DZB17" s="14"/>
      <c r="DZC17" s="14"/>
      <c r="DZD17" s="14"/>
      <c r="DZE17" s="14"/>
      <c r="DZF17" s="14"/>
      <c r="DZG17" s="14"/>
      <c r="DZH17" s="14"/>
      <c r="DZI17" s="14"/>
      <c r="DZJ17" s="14"/>
      <c r="DZK17" s="14"/>
      <c r="DZL17" s="14"/>
      <c r="DZM17" s="14"/>
      <c r="DZN17" s="14"/>
      <c r="DZO17" s="14"/>
      <c r="DZP17" s="14"/>
      <c r="DZQ17" s="14"/>
      <c r="DZR17" s="14"/>
      <c r="DZS17" s="14"/>
      <c r="DZT17" s="14"/>
      <c r="DZU17" s="14"/>
      <c r="DZV17" s="14"/>
      <c r="DZW17" s="14"/>
      <c r="DZX17" s="14"/>
      <c r="DZY17" s="14"/>
      <c r="DZZ17" s="14"/>
      <c r="EAA17" s="14"/>
      <c r="EAB17" s="14"/>
      <c r="EAC17" s="14"/>
      <c r="EAD17" s="14"/>
      <c r="EAE17" s="14"/>
      <c r="EAF17" s="14"/>
      <c r="EAG17" s="14"/>
      <c r="EAH17" s="14"/>
      <c r="EAI17" s="14"/>
      <c r="EAJ17" s="14"/>
      <c r="EAK17" s="14"/>
      <c r="EAL17" s="14"/>
      <c r="EAM17" s="14"/>
      <c r="EAN17" s="14"/>
      <c r="EAO17" s="14"/>
      <c r="EAP17" s="14"/>
      <c r="EAQ17" s="14"/>
      <c r="EAR17" s="14"/>
      <c r="EAS17" s="14"/>
      <c r="EAT17" s="14"/>
      <c r="EAU17" s="14"/>
      <c r="EAV17" s="14"/>
      <c r="EAW17" s="14"/>
      <c r="EAX17" s="14"/>
      <c r="EAY17" s="14"/>
      <c r="EAZ17" s="14"/>
      <c r="EBA17" s="14"/>
      <c r="EBB17" s="14"/>
      <c r="EBC17" s="14"/>
      <c r="EBD17" s="14"/>
      <c r="EBE17" s="14"/>
      <c r="EBF17" s="14"/>
      <c r="EBG17" s="14"/>
      <c r="EBH17" s="14"/>
      <c r="EBI17" s="14"/>
      <c r="EBJ17" s="14"/>
      <c r="EBK17" s="14"/>
      <c r="EBL17" s="14"/>
      <c r="EBM17" s="14"/>
      <c r="EBN17" s="14"/>
      <c r="EBO17" s="14"/>
      <c r="EBP17" s="14"/>
      <c r="EBQ17" s="14"/>
      <c r="EBR17" s="14"/>
      <c r="EBS17" s="14"/>
      <c r="EBT17" s="14"/>
      <c r="EBU17" s="14"/>
      <c r="EBV17" s="14"/>
      <c r="EBW17" s="14"/>
      <c r="EBX17" s="14"/>
      <c r="EBY17" s="14"/>
      <c r="EBZ17" s="14"/>
      <c r="ECA17" s="14"/>
      <c r="ECB17" s="14"/>
      <c r="ECC17" s="14"/>
      <c r="ECD17" s="14"/>
      <c r="ECE17" s="14"/>
      <c r="ECF17" s="14"/>
      <c r="ECG17" s="14"/>
      <c r="ECH17" s="14"/>
      <c r="ECI17" s="14"/>
      <c r="ECJ17" s="14"/>
      <c r="ECK17" s="14"/>
      <c r="ECL17" s="14"/>
      <c r="ECM17" s="14"/>
      <c r="ECN17" s="14"/>
      <c r="ECO17" s="14"/>
      <c r="ECP17" s="14"/>
      <c r="ECQ17" s="14"/>
      <c r="ECR17" s="14"/>
      <c r="ECS17" s="14"/>
      <c r="ECT17" s="14"/>
      <c r="ECU17" s="14"/>
      <c r="ECV17" s="14"/>
      <c r="ECW17" s="14"/>
      <c r="ECX17" s="14"/>
      <c r="ECY17" s="14"/>
      <c r="ECZ17" s="14"/>
      <c r="EDA17" s="14"/>
      <c r="EDB17" s="14"/>
      <c r="EDC17" s="14"/>
      <c r="EDD17" s="14"/>
      <c r="EDE17" s="14"/>
      <c r="EDF17" s="14"/>
      <c r="EDG17" s="14"/>
      <c r="EDH17" s="14"/>
      <c r="EDI17" s="14"/>
      <c r="EDJ17" s="14"/>
      <c r="EDK17" s="14"/>
      <c r="EDL17" s="14"/>
      <c r="EDM17" s="14"/>
      <c r="EDN17" s="14"/>
      <c r="EDO17" s="14"/>
      <c r="EDP17" s="14"/>
      <c r="EDQ17" s="14"/>
      <c r="EDR17" s="14"/>
      <c r="EDS17" s="14"/>
      <c r="EDT17" s="14"/>
      <c r="EDU17" s="14"/>
      <c r="EDV17" s="14"/>
      <c r="EDW17" s="14"/>
      <c r="EDX17" s="14"/>
      <c r="EDY17" s="14"/>
      <c r="EDZ17" s="14"/>
      <c r="EEA17" s="14"/>
      <c r="EEB17" s="14"/>
      <c r="EEC17" s="14"/>
      <c r="EED17" s="14"/>
      <c r="EEE17" s="14"/>
      <c r="EEF17" s="14"/>
      <c r="EEG17" s="14"/>
      <c r="EEH17" s="14"/>
      <c r="EEI17" s="14"/>
      <c r="EEJ17" s="14"/>
      <c r="EEK17" s="14"/>
      <c r="EEL17" s="14"/>
      <c r="EEM17" s="14"/>
      <c r="EEN17" s="14"/>
      <c r="EEO17" s="14"/>
      <c r="EEP17" s="14"/>
      <c r="EEQ17" s="14"/>
      <c r="EER17" s="14"/>
      <c r="EES17" s="14"/>
      <c r="EET17" s="14"/>
      <c r="EEU17" s="14"/>
      <c r="EEV17" s="14"/>
      <c r="EEW17" s="14"/>
      <c r="EEX17" s="14"/>
      <c r="EEY17" s="14"/>
      <c r="EEZ17" s="14"/>
      <c r="EFA17" s="14"/>
      <c r="EFB17" s="14"/>
      <c r="EFC17" s="14"/>
      <c r="EFD17" s="14"/>
      <c r="EFE17" s="14"/>
      <c r="EFF17" s="14"/>
      <c r="EFG17" s="14"/>
      <c r="EFH17" s="14"/>
      <c r="EFI17" s="14"/>
      <c r="EFJ17" s="14"/>
      <c r="EFK17" s="14"/>
      <c r="EFL17" s="14"/>
      <c r="EFM17" s="14"/>
      <c r="EFN17" s="14"/>
      <c r="EFO17" s="14"/>
      <c r="EFP17" s="14"/>
      <c r="EFQ17" s="14"/>
      <c r="EFR17" s="14"/>
      <c r="EFS17" s="14"/>
      <c r="EFT17" s="14"/>
      <c r="EFU17" s="14"/>
      <c r="EFV17" s="14"/>
      <c r="EFW17" s="14"/>
      <c r="EFX17" s="14"/>
      <c r="EFY17" s="14"/>
      <c r="EFZ17" s="14"/>
      <c r="EGA17" s="14"/>
      <c r="EGB17" s="14"/>
      <c r="EGC17" s="14"/>
      <c r="EGD17" s="14"/>
      <c r="EGE17" s="14"/>
      <c r="EGF17" s="14"/>
      <c r="EGG17" s="14"/>
      <c r="EGH17" s="14"/>
      <c r="EGI17" s="14"/>
      <c r="EGJ17" s="14"/>
      <c r="EGK17" s="14"/>
      <c r="EGL17" s="14"/>
      <c r="EGM17" s="14"/>
      <c r="EGN17" s="14"/>
      <c r="EGO17" s="14"/>
      <c r="EGP17" s="14"/>
      <c r="EGQ17" s="14"/>
      <c r="EGR17" s="14"/>
      <c r="EGS17" s="14"/>
      <c r="EGT17" s="14"/>
      <c r="EGU17" s="14"/>
      <c r="EGV17" s="14"/>
      <c r="EGW17" s="14"/>
      <c r="EGX17" s="14"/>
      <c r="EGY17" s="14"/>
      <c r="EGZ17" s="14"/>
      <c r="EHA17" s="14"/>
      <c r="EHB17" s="14"/>
      <c r="EHC17" s="14"/>
      <c r="EHD17" s="14"/>
      <c r="EHE17" s="14"/>
      <c r="EHF17" s="14"/>
      <c r="EHG17" s="14"/>
      <c r="EHH17" s="14"/>
      <c r="EHI17" s="14"/>
      <c r="EHJ17" s="14"/>
      <c r="EHK17" s="14"/>
      <c r="EHL17" s="14"/>
      <c r="EHM17" s="14"/>
      <c r="EHN17" s="14"/>
      <c r="EHO17" s="14"/>
      <c r="EHP17" s="14"/>
      <c r="EHQ17" s="14"/>
      <c r="EHR17" s="14"/>
      <c r="EHS17" s="14"/>
      <c r="EHT17" s="14"/>
      <c r="EHU17" s="14"/>
      <c r="EHV17" s="14"/>
      <c r="EHW17" s="14"/>
      <c r="EHX17" s="14"/>
      <c r="EHY17" s="14"/>
      <c r="EHZ17" s="14"/>
      <c r="EIA17" s="14"/>
      <c r="EIB17" s="14"/>
      <c r="EIC17" s="14"/>
      <c r="EID17" s="14"/>
      <c r="EIE17" s="14"/>
      <c r="EIF17" s="14"/>
      <c r="EIG17" s="14"/>
      <c r="EIH17" s="14"/>
      <c r="EII17" s="14"/>
      <c r="EIJ17" s="14"/>
      <c r="EIK17" s="14"/>
      <c r="EIL17" s="14"/>
      <c r="EIM17" s="14"/>
      <c r="EIN17" s="14"/>
      <c r="EIO17" s="14"/>
      <c r="EIP17" s="14"/>
      <c r="EIQ17" s="14"/>
      <c r="EIR17" s="14"/>
      <c r="EIS17" s="14"/>
      <c r="EIT17" s="14"/>
      <c r="EIU17" s="14"/>
      <c r="EIV17" s="14"/>
      <c r="EIW17" s="14"/>
      <c r="EIX17" s="14"/>
      <c r="EIY17" s="14"/>
      <c r="EIZ17" s="14"/>
      <c r="EJA17" s="14"/>
      <c r="EJB17" s="14"/>
      <c r="EJC17" s="14"/>
      <c r="EJD17" s="14"/>
      <c r="EJE17" s="14"/>
      <c r="EJF17" s="14"/>
      <c r="EJG17" s="14"/>
      <c r="EJH17" s="14"/>
      <c r="EJI17" s="14"/>
      <c r="EJJ17" s="14"/>
      <c r="EJK17" s="14"/>
      <c r="EJL17" s="14"/>
      <c r="EJM17" s="14"/>
      <c r="EJN17" s="14"/>
      <c r="EJO17" s="14"/>
      <c r="EJP17" s="14"/>
      <c r="EJQ17" s="14"/>
      <c r="EJR17" s="14"/>
      <c r="EJS17" s="14"/>
      <c r="EJT17" s="14"/>
      <c r="EJU17" s="14"/>
      <c r="EJV17" s="14"/>
      <c r="EJW17" s="14"/>
      <c r="EJX17" s="14"/>
      <c r="EJY17" s="14"/>
      <c r="EJZ17" s="14"/>
      <c r="EKA17" s="14"/>
      <c r="EKB17" s="14"/>
      <c r="EKC17" s="14"/>
      <c r="EKD17" s="14"/>
      <c r="EKE17" s="14"/>
      <c r="EKF17" s="14"/>
      <c r="EKG17" s="14"/>
      <c r="EKH17" s="14"/>
      <c r="EKI17" s="14"/>
      <c r="EKJ17" s="14"/>
      <c r="EKK17" s="14"/>
      <c r="EKL17" s="14"/>
      <c r="EKM17" s="14"/>
      <c r="EKN17" s="14"/>
      <c r="EKO17" s="14"/>
      <c r="EKP17" s="14"/>
      <c r="EKQ17" s="14"/>
      <c r="EKR17" s="14"/>
      <c r="EKS17" s="14"/>
      <c r="EKT17" s="14"/>
      <c r="EKU17" s="14"/>
      <c r="EKV17" s="14"/>
      <c r="EKW17" s="14"/>
      <c r="EKX17" s="14"/>
      <c r="EKY17" s="14"/>
      <c r="EKZ17" s="14"/>
      <c r="ELA17" s="14"/>
      <c r="ELB17" s="14"/>
      <c r="ELC17" s="14"/>
      <c r="ELD17" s="14"/>
      <c r="ELE17" s="14"/>
      <c r="ELF17" s="14"/>
      <c r="ELG17" s="14"/>
      <c r="ELH17" s="14"/>
      <c r="ELI17" s="14"/>
      <c r="ELJ17" s="14"/>
      <c r="ELK17" s="14"/>
      <c r="ELL17" s="14"/>
      <c r="ELM17" s="14"/>
      <c r="ELN17" s="14"/>
      <c r="ELO17" s="14"/>
      <c r="ELP17" s="14"/>
      <c r="ELQ17" s="14"/>
      <c r="ELR17" s="14"/>
      <c r="ELS17" s="14"/>
      <c r="ELT17" s="14"/>
      <c r="ELU17" s="14"/>
      <c r="ELV17" s="14"/>
      <c r="ELW17" s="14"/>
      <c r="ELX17" s="14"/>
      <c r="ELY17" s="14"/>
      <c r="ELZ17" s="14"/>
      <c r="EMA17" s="14"/>
      <c r="EMB17" s="14"/>
      <c r="EMC17" s="14"/>
      <c r="EMD17" s="14"/>
      <c r="EME17" s="14"/>
      <c r="EMF17" s="14"/>
      <c r="EMG17" s="14"/>
      <c r="EMH17" s="14"/>
      <c r="EMI17" s="14"/>
      <c r="EMJ17" s="14"/>
      <c r="EMK17" s="14"/>
      <c r="EML17" s="14"/>
      <c r="EMM17" s="14"/>
      <c r="EMN17" s="14"/>
      <c r="EMO17" s="14"/>
      <c r="EMP17" s="14"/>
      <c r="EMQ17" s="14"/>
      <c r="EMR17" s="14"/>
      <c r="EMS17" s="14"/>
      <c r="EMT17" s="14"/>
      <c r="EMU17" s="14"/>
      <c r="EMV17" s="14"/>
      <c r="EMW17" s="14"/>
      <c r="EMX17" s="14"/>
      <c r="EMY17" s="14"/>
      <c r="EMZ17" s="14"/>
      <c r="ENA17" s="14"/>
      <c r="ENB17" s="14"/>
      <c r="ENC17" s="14"/>
      <c r="END17" s="14"/>
      <c r="ENE17" s="14"/>
      <c r="ENF17" s="14"/>
      <c r="ENG17" s="14"/>
      <c r="ENH17" s="14"/>
      <c r="ENI17" s="14"/>
      <c r="ENJ17" s="14"/>
      <c r="ENK17" s="14"/>
      <c r="ENL17" s="14"/>
      <c r="ENM17" s="14"/>
      <c r="ENN17" s="14"/>
      <c r="ENO17" s="14"/>
      <c r="ENP17" s="14"/>
      <c r="ENQ17" s="14"/>
      <c r="ENR17" s="14"/>
      <c r="ENS17" s="14"/>
      <c r="ENT17" s="14"/>
      <c r="ENU17" s="14"/>
      <c r="ENV17" s="14"/>
      <c r="ENW17" s="14"/>
      <c r="ENX17" s="14"/>
      <c r="ENY17" s="14"/>
      <c r="ENZ17" s="14"/>
      <c r="EOA17" s="14"/>
      <c r="EOB17" s="14"/>
      <c r="EOC17" s="14"/>
      <c r="EOD17" s="14"/>
      <c r="EOE17" s="14"/>
      <c r="EOF17" s="14"/>
      <c r="EOG17" s="14"/>
      <c r="EOH17" s="14"/>
      <c r="EOI17" s="14"/>
      <c r="EOJ17" s="14"/>
      <c r="EOK17" s="14"/>
      <c r="EOL17" s="14"/>
      <c r="EOM17" s="14"/>
      <c r="EON17" s="14"/>
      <c r="EOO17" s="14"/>
      <c r="EOP17" s="14"/>
      <c r="EOQ17" s="14"/>
      <c r="EOR17" s="14"/>
      <c r="EOS17" s="14"/>
      <c r="EOT17" s="14"/>
      <c r="EOU17" s="14"/>
      <c r="EOV17" s="14"/>
      <c r="EOW17" s="14"/>
      <c r="EOX17" s="14"/>
      <c r="EOY17" s="14"/>
      <c r="EOZ17" s="14"/>
      <c r="EPA17" s="14"/>
      <c r="EPB17" s="14"/>
      <c r="EPC17" s="14"/>
      <c r="EPD17" s="14"/>
      <c r="EPE17" s="14"/>
      <c r="EPF17" s="14"/>
      <c r="EPG17" s="14"/>
      <c r="EPH17" s="14"/>
      <c r="EPI17" s="14"/>
      <c r="EPJ17" s="14"/>
      <c r="EPK17" s="14"/>
      <c r="EPL17" s="14"/>
      <c r="EPM17" s="14"/>
      <c r="EPN17" s="14"/>
      <c r="EPO17" s="14"/>
      <c r="EPP17" s="14"/>
      <c r="EPQ17" s="14"/>
      <c r="EPR17" s="14"/>
      <c r="EPS17" s="14"/>
      <c r="EPT17" s="14"/>
      <c r="EPU17" s="14"/>
      <c r="EPV17" s="14"/>
      <c r="EPW17" s="14"/>
      <c r="EPX17" s="14"/>
      <c r="EPY17" s="14"/>
      <c r="EPZ17" s="14"/>
      <c r="EQA17" s="14"/>
      <c r="EQB17" s="14"/>
      <c r="EQC17" s="14"/>
      <c r="EQD17" s="14"/>
      <c r="EQE17" s="14"/>
      <c r="EQF17" s="14"/>
      <c r="EQG17" s="14"/>
      <c r="EQH17" s="14"/>
      <c r="EQI17" s="14"/>
      <c r="EQJ17" s="14"/>
      <c r="EQK17" s="14"/>
      <c r="EQL17" s="14"/>
      <c r="EQM17" s="14"/>
      <c r="EQN17" s="14"/>
      <c r="EQO17" s="14"/>
      <c r="EQP17" s="14"/>
      <c r="EQQ17" s="14"/>
      <c r="EQR17" s="14"/>
      <c r="EQS17" s="14"/>
      <c r="EQT17" s="14"/>
      <c r="EQU17" s="14"/>
      <c r="EQV17" s="14"/>
      <c r="EQW17" s="14"/>
      <c r="EQX17" s="14"/>
      <c r="EQY17" s="14"/>
      <c r="EQZ17" s="14"/>
      <c r="ERA17" s="14"/>
      <c r="ERB17" s="14"/>
      <c r="ERC17" s="14"/>
      <c r="ERD17" s="14"/>
      <c r="ERE17" s="14"/>
      <c r="ERF17" s="14"/>
      <c r="ERG17" s="14"/>
      <c r="ERH17" s="14"/>
      <c r="ERI17" s="14"/>
      <c r="ERJ17" s="14"/>
      <c r="ERK17" s="14"/>
      <c r="ERL17" s="14"/>
      <c r="ERM17" s="14"/>
      <c r="ERN17" s="14"/>
      <c r="ERO17" s="14"/>
      <c r="ERP17" s="14"/>
      <c r="ERQ17" s="14"/>
      <c r="ERR17" s="14"/>
      <c r="ERS17" s="14"/>
      <c r="ERT17" s="14"/>
      <c r="ERU17" s="14"/>
      <c r="ERV17" s="14"/>
      <c r="ERW17" s="14"/>
      <c r="ERX17" s="14"/>
      <c r="ERY17" s="14"/>
      <c r="ERZ17" s="14"/>
      <c r="ESA17" s="14"/>
      <c r="ESB17" s="14"/>
      <c r="ESC17" s="14"/>
      <c r="ESD17" s="14"/>
      <c r="ESE17" s="14"/>
      <c r="ESF17" s="14"/>
      <c r="ESG17" s="14"/>
      <c r="ESH17" s="14"/>
      <c r="ESI17" s="14"/>
      <c r="ESJ17" s="14"/>
      <c r="ESK17" s="14"/>
      <c r="ESL17" s="14"/>
      <c r="ESM17" s="14"/>
      <c r="ESN17" s="14"/>
      <c r="ESO17" s="14"/>
      <c r="ESP17" s="14"/>
      <c r="ESQ17" s="14"/>
      <c r="ESR17" s="14"/>
      <c r="ESS17" s="14"/>
      <c r="EST17" s="14"/>
      <c r="ESU17" s="14"/>
      <c r="ESV17" s="14"/>
      <c r="ESW17" s="14"/>
      <c r="ESX17" s="14"/>
      <c r="ESY17" s="14"/>
      <c r="ESZ17" s="14"/>
      <c r="ETA17" s="14"/>
      <c r="ETB17" s="14"/>
      <c r="ETC17" s="14"/>
      <c r="ETD17" s="14"/>
      <c r="ETE17" s="14"/>
      <c r="ETF17" s="14"/>
      <c r="ETG17" s="14"/>
      <c r="ETH17" s="14"/>
      <c r="ETI17" s="14"/>
      <c r="ETJ17" s="14"/>
      <c r="ETK17" s="14"/>
      <c r="ETL17" s="14"/>
      <c r="ETM17" s="14"/>
      <c r="ETN17" s="14"/>
      <c r="ETO17" s="14"/>
      <c r="ETP17" s="14"/>
      <c r="ETQ17" s="14"/>
      <c r="ETR17" s="14"/>
      <c r="ETS17" s="14"/>
      <c r="ETT17" s="14"/>
      <c r="ETU17" s="14"/>
      <c r="ETV17" s="14"/>
      <c r="ETW17" s="14"/>
      <c r="ETX17" s="14"/>
      <c r="ETY17" s="14"/>
      <c r="ETZ17" s="14"/>
      <c r="EUA17" s="14"/>
      <c r="EUB17" s="14"/>
      <c r="EUC17" s="14"/>
      <c r="EUD17" s="14"/>
      <c r="EUE17" s="14"/>
      <c r="EUF17" s="14"/>
      <c r="EUG17" s="14"/>
      <c r="EUH17" s="14"/>
      <c r="EUI17" s="14"/>
      <c r="EUJ17" s="14"/>
      <c r="EUK17" s="14"/>
      <c r="EUL17" s="14"/>
      <c r="EUM17" s="14"/>
      <c r="EUN17" s="14"/>
      <c r="EUO17" s="14"/>
      <c r="EUP17" s="14"/>
      <c r="EUQ17" s="14"/>
      <c r="EUR17" s="14"/>
      <c r="EUS17" s="14"/>
      <c r="EUT17" s="14"/>
      <c r="EUU17" s="14"/>
      <c r="EUV17" s="14"/>
      <c r="EUW17" s="14"/>
      <c r="EUX17" s="14"/>
      <c r="EUY17" s="14"/>
      <c r="EUZ17" s="14"/>
      <c r="EVA17" s="14"/>
      <c r="EVB17" s="14"/>
      <c r="EVC17" s="14"/>
      <c r="EVD17" s="14"/>
      <c r="EVE17" s="14"/>
      <c r="EVF17" s="14"/>
      <c r="EVG17" s="14"/>
      <c r="EVH17" s="14"/>
      <c r="EVI17" s="14"/>
      <c r="EVJ17" s="14"/>
      <c r="EVK17" s="14"/>
      <c r="EVL17" s="14"/>
      <c r="EVM17" s="14"/>
      <c r="EVN17" s="14"/>
      <c r="EVO17" s="14"/>
      <c r="EVP17" s="14"/>
      <c r="EVQ17" s="14"/>
      <c r="EVR17" s="14"/>
      <c r="EVS17" s="14"/>
      <c r="EVT17" s="14"/>
      <c r="EVU17" s="14"/>
      <c r="EVV17" s="14"/>
      <c r="EVW17" s="14"/>
      <c r="EVX17" s="14"/>
      <c r="EVY17" s="14"/>
      <c r="EVZ17" s="14"/>
      <c r="EWA17" s="14"/>
      <c r="EWB17" s="14"/>
      <c r="EWC17" s="14"/>
      <c r="EWD17" s="14"/>
      <c r="EWE17" s="14"/>
      <c r="EWF17" s="14"/>
      <c r="EWG17" s="14"/>
      <c r="EWH17" s="14"/>
      <c r="EWI17" s="14"/>
      <c r="EWJ17" s="14"/>
      <c r="EWK17" s="14"/>
      <c r="EWL17" s="14"/>
      <c r="EWM17" s="14"/>
      <c r="EWN17" s="14"/>
      <c r="EWO17" s="14"/>
      <c r="EWP17" s="14"/>
      <c r="EWQ17" s="14"/>
      <c r="EWR17" s="14"/>
      <c r="EWS17" s="14"/>
      <c r="EWT17" s="14"/>
      <c r="EWU17" s="14"/>
      <c r="EWV17" s="14"/>
      <c r="EWW17" s="14"/>
      <c r="EWX17" s="14"/>
      <c r="EWY17" s="14"/>
      <c r="EWZ17" s="14"/>
      <c r="EXA17" s="14"/>
      <c r="EXB17" s="14"/>
      <c r="EXC17" s="14"/>
      <c r="EXD17" s="14"/>
      <c r="EXE17" s="14"/>
      <c r="EXF17" s="14"/>
      <c r="EXG17" s="14"/>
      <c r="EXH17" s="14"/>
      <c r="EXI17" s="14"/>
      <c r="EXJ17" s="14"/>
      <c r="EXK17" s="14"/>
      <c r="EXL17" s="14"/>
      <c r="EXM17" s="14"/>
      <c r="EXN17" s="14"/>
      <c r="EXO17" s="14"/>
      <c r="EXP17" s="14"/>
      <c r="EXQ17" s="14"/>
      <c r="EXR17" s="14"/>
      <c r="EXS17" s="14"/>
      <c r="EXT17" s="14"/>
      <c r="EXU17" s="14"/>
      <c r="EXV17" s="14"/>
      <c r="EXW17" s="14"/>
      <c r="EXX17" s="14"/>
      <c r="EXY17" s="14"/>
      <c r="EXZ17" s="14"/>
      <c r="EYA17" s="14"/>
      <c r="EYB17" s="14"/>
      <c r="EYC17" s="14"/>
      <c r="EYD17" s="14"/>
      <c r="EYE17" s="14"/>
      <c r="EYF17" s="14"/>
      <c r="EYG17" s="14"/>
      <c r="EYH17" s="14"/>
      <c r="EYI17" s="14"/>
      <c r="EYJ17" s="14"/>
      <c r="EYK17" s="14"/>
      <c r="EYL17" s="14"/>
      <c r="EYM17" s="14"/>
      <c r="EYN17" s="14"/>
      <c r="EYO17" s="14"/>
      <c r="EYP17" s="14"/>
      <c r="EYQ17" s="14"/>
      <c r="EYR17" s="14"/>
      <c r="EYS17" s="14"/>
      <c r="EYT17" s="14"/>
      <c r="EYU17" s="14"/>
      <c r="EYV17" s="14"/>
      <c r="EYW17" s="14"/>
      <c r="EYX17" s="14"/>
      <c r="EYY17" s="14"/>
      <c r="EYZ17" s="14"/>
      <c r="EZA17" s="14"/>
      <c r="EZB17" s="14"/>
      <c r="EZC17" s="14"/>
      <c r="EZD17" s="14"/>
      <c r="EZE17" s="14"/>
      <c r="EZF17" s="14"/>
      <c r="EZG17" s="14"/>
      <c r="EZH17" s="14"/>
      <c r="EZI17" s="14"/>
      <c r="EZJ17" s="14"/>
      <c r="EZK17" s="14"/>
      <c r="EZL17" s="14"/>
      <c r="EZM17" s="14"/>
      <c r="EZN17" s="14"/>
      <c r="EZO17" s="14"/>
      <c r="EZP17" s="14"/>
      <c r="EZQ17" s="14"/>
      <c r="EZR17" s="14"/>
      <c r="EZS17" s="14"/>
      <c r="EZT17" s="14"/>
      <c r="EZU17" s="14"/>
      <c r="EZV17" s="14"/>
      <c r="EZW17" s="14"/>
      <c r="EZX17" s="14"/>
      <c r="EZY17" s="14"/>
      <c r="EZZ17" s="14"/>
      <c r="FAA17" s="14"/>
      <c r="FAB17" s="14"/>
      <c r="FAC17" s="14"/>
      <c r="FAD17" s="14"/>
      <c r="FAE17" s="14"/>
      <c r="FAF17" s="14"/>
      <c r="FAG17" s="14"/>
      <c r="FAH17" s="14"/>
      <c r="FAI17" s="14"/>
      <c r="FAJ17" s="14"/>
      <c r="FAK17" s="14"/>
      <c r="FAL17" s="14"/>
      <c r="FAM17" s="14"/>
      <c r="FAN17" s="14"/>
      <c r="FAO17" s="14"/>
      <c r="FAP17" s="14"/>
      <c r="FAQ17" s="14"/>
      <c r="FAR17" s="14"/>
      <c r="FAS17" s="14"/>
      <c r="FAT17" s="14"/>
      <c r="FAU17" s="14"/>
      <c r="FAV17" s="14"/>
      <c r="FAW17" s="14"/>
      <c r="FAX17" s="14"/>
      <c r="FAY17" s="14"/>
      <c r="FAZ17" s="14"/>
      <c r="FBA17" s="14"/>
      <c r="FBB17" s="14"/>
      <c r="FBC17" s="14"/>
      <c r="FBD17" s="14"/>
      <c r="FBE17" s="14"/>
      <c r="FBF17" s="14"/>
      <c r="FBG17" s="14"/>
      <c r="FBH17" s="14"/>
      <c r="FBI17" s="14"/>
      <c r="FBJ17" s="14"/>
      <c r="FBK17" s="14"/>
      <c r="FBL17" s="14"/>
      <c r="FBM17" s="14"/>
      <c r="FBN17" s="14"/>
      <c r="FBO17" s="14"/>
      <c r="FBP17" s="14"/>
      <c r="FBQ17" s="14"/>
      <c r="FBR17" s="14"/>
      <c r="FBS17" s="14"/>
      <c r="FBT17" s="14"/>
      <c r="FBU17" s="14"/>
      <c r="FBV17" s="14"/>
      <c r="FBW17" s="14"/>
      <c r="FBX17" s="14"/>
      <c r="FBY17" s="14"/>
      <c r="FBZ17" s="14"/>
      <c r="FCA17" s="14"/>
      <c r="FCB17" s="14"/>
      <c r="FCC17" s="14"/>
      <c r="FCD17" s="14"/>
      <c r="FCE17" s="14"/>
      <c r="FCF17" s="14"/>
      <c r="FCG17" s="14"/>
      <c r="FCH17" s="14"/>
      <c r="FCI17" s="14"/>
      <c r="FCJ17" s="14"/>
      <c r="FCK17" s="14"/>
      <c r="FCL17" s="14"/>
      <c r="FCM17" s="14"/>
      <c r="FCN17" s="14"/>
      <c r="FCO17" s="14"/>
      <c r="FCP17" s="14"/>
      <c r="FCQ17" s="14"/>
      <c r="FCR17" s="14"/>
      <c r="FCS17" s="14"/>
      <c r="FCT17" s="14"/>
      <c r="FCU17" s="14"/>
      <c r="FCV17" s="14"/>
      <c r="FCW17" s="14"/>
      <c r="FCX17" s="14"/>
      <c r="FCY17" s="14"/>
      <c r="FCZ17" s="14"/>
      <c r="FDA17" s="14"/>
      <c r="FDB17" s="14"/>
      <c r="FDC17" s="14"/>
      <c r="FDD17" s="14"/>
      <c r="FDE17" s="14"/>
      <c r="FDF17" s="14"/>
      <c r="FDG17" s="14"/>
      <c r="FDH17" s="14"/>
      <c r="FDI17" s="14"/>
      <c r="FDJ17" s="14"/>
      <c r="FDK17" s="14"/>
      <c r="FDL17" s="14"/>
      <c r="FDM17" s="14"/>
      <c r="FDN17" s="14"/>
      <c r="FDO17" s="14"/>
      <c r="FDP17" s="14"/>
      <c r="FDQ17" s="14"/>
      <c r="FDR17" s="14"/>
      <c r="FDS17" s="14"/>
      <c r="FDT17" s="14"/>
      <c r="FDU17" s="14"/>
      <c r="FDV17" s="14"/>
      <c r="FDW17" s="14"/>
      <c r="FDX17" s="14"/>
      <c r="FDY17" s="14"/>
      <c r="FDZ17" s="14"/>
      <c r="FEA17" s="14"/>
      <c r="FEB17" s="14"/>
      <c r="FEC17" s="14"/>
      <c r="FED17" s="14"/>
      <c r="FEE17" s="14"/>
      <c r="FEF17" s="14"/>
      <c r="FEG17" s="14"/>
      <c r="FEH17" s="14"/>
      <c r="FEI17" s="14"/>
      <c r="FEJ17" s="14"/>
      <c r="FEK17" s="14"/>
      <c r="FEL17" s="14"/>
      <c r="FEM17" s="14"/>
      <c r="FEN17" s="14"/>
      <c r="FEO17" s="14"/>
      <c r="FEP17" s="14"/>
      <c r="FEQ17" s="14"/>
      <c r="FER17" s="14"/>
      <c r="FES17" s="14"/>
      <c r="FET17" s="14"/>
      <c r="FEU17" s="14"/>
      <c r="FEV17" s="14"/>
      <c r="FEW17" s="14"/>
      <c r="FEX17" s="14"/>
      <c r="FEY17" s="14"/>
      <c r="FEZ17" s="14"/>
      <c r="FFA17" s="14"/>
      <c r="FFB17" s="14"/>
      <c r="FFC17" s="14"/>
      <c r="FFD17" s="14"/>
      <c r="FFE17" s="14"/>
      <c r="FFF17" s="14"/>
      <c r="FFG17" s="14"/>
      <c r="FFH17" s="14"/>
      <c r="FFI17" s="14"/>
      <c r="FFJ17" s="14"/>
      <c r="FFK17" s="14"/>
      <c r="FFL17" s="14"/>
      <c r="FFM17" s="14"/>
      <c r="FFN17" s="14"/>
      <c r="FFO17" s="14"/>
      <c r="FFP17" s="14"/>
      <c r="FFQ17" s="14"/>
      <c r="FFR17" s="14"/>
      <c r="FFS17" s="14"/>
      <c r="FFT17" s="14"/>
      <c r="FFU17" s="14"/>
      <c r="FFV17" s="14"/>
      <c r="FFW17" s="14"/>
      <c r="FFX17" s="14"/>
      <c r="FFY17" s="14"/>
      <c r="FFZ17" s="14"/>
      <c r="FGA17" s="14"/>
      <c r="FGB17" s="14"/>
      <c r="FGC17" s="14"/>
      <c r="FGD17" s="14"/>
      <c r="FGE17" s="14"/>
      <c r="FGF17" s="14"/>
      <c r="FGG17" s="14"/>
      <c r="FGH17" s="14"/>
      <c r="FGI17" s="14"/>
      <c r="FGJ17" s="14"/>
      <c r="FGK17" s="14"/>
      <c r="FGL17" s="14"/>
      <c r="FGM17" s="14"/>
      <c r="FGN17" s="14"/>
      <c r="FGO17" s="14"/>
      <c r="FGP17" s="14"/>
      <c r="FGQ17" s="14"/>
      <c r="FGR17" s="14"/>
      <c r="FGS17" s="14"/>
      <c r="FGT17" s="14"/>
      <c r="FGU17" s="14"/>
      <c r="FGV17" s="14"/>
      <c r="FGW17" s="14"/>
      <c r="FGX17" s="14"/>
      <c r="FGY17" s="14"/>
      <c r="FGZ17" s="14"/>
      <c r="FHA17" s="14"/>
      <c r="FHB17" s="14"/>
      <c r="FHC17" s="14"/>
      <c r="FHD17" s="14"/>
      <c r="FHE17" s="14"/>
      <c r="FHF17" s="14"/>
      <c r="FHG17" s="14"/>
      <c r="FHH17" s="14"/>
      <c r="FHI17" s="14"/>
      <c r="FHJ17" s="14"/>
      <c r="FHK17" s="14"/>
      <c r="FHL17" s="14"/>
      <c r="FHM17" s="14"/>
      <c r="FHN17" s="14"/>
      <c r="FHO17" s="14"/>
      <c r="FHP17" s="14"/>
      <c r="FHQ17" s="14"/>
      <c r="FHR17" s="14"/>
      <c r="FHS17" s="14"/>
      <c r="FHT17" s="14"/>
      <c r="FHU17" s="14"/>
      <c r="FHV17" s="14"/>
      <c r="FHW17" s="14"/>
      <c r="FHX17" s="14"/>
      <c r="FHY17" s="14"/>
      <c r="FHZ17" s="14"/>
      <c r="FIA17" s="14"/>
      <c r="FIB17" s="14"/>
      <c r="FIC17" s="14"/>
      <c r="FID17" s="14"/>
      <c r="FIE17" s="14"/>
      <c r="FIF17" s="14"/>
      <c r="FIG17" s="14"/>
      <c r="FIH17" s="14"/>
      <c r="FII17" s="14"/>
      <c r="FIJ17" s="14"/>
      <c r="FIK17" s="14"/>
      <c r="FIL17" s="14"/>
      <c r="FIM17" s="14"/>
      <c r="FIN17" s="14"/>
      <c r="FIO17" s="14"/>
      <c r="FIP17" s="14"/>
      <c r="FIQ17" s="14"/>
      <c r="FIR17" s="14"/>
      <c r="FIS17" s="14"/>
      <c r="FIT17" s="14"/>
      <c r="FIU17" s="14"/>
      <c r="FIV17" s="14"/>
      <c r="FIW17" s="14"/>
      <c r="FIX17" s="14"/>
      <c r="FIY17" s="14"/>
      <c r="FIZ17" s="14"/>
      <c r="FJA17" s="14"/>
      <c r="FJB17" s="14"/>
      <c r="FJC17" s="14"/>
      <c r="FJD17" s="14"/>
      <c r="FJE17" s="14"/>
      <c r="FJF17" s="14"/>
      <c r="FJG17" s="14"/>
      <c r="FJH17" s="14"/>
      <c r="FJI17" s="14"/>
      <c r="FJJ17" s="14"/>
      <c r="FJK17" s="14"/>
      <c r="FJL17" s="14"/>
      <c r="FJM17" s="14"/>
      <c r="FJN17" s="14"/>
      <c r="FJO17" s="14"/>
      <c r="FJP17" s="14"/>
      <c r="FJQ17" s="14"/>
      <c r="FJR17" s="14"/>
      <c r="FJS17" s="14"/>
      <c r="FJT17" s="14"/>
      <c r="FJU17" s="14"/>
      <c r="FJV17" s="14"/>
      <c r="FJW17" s="14"/>
      <c r="FJX17" s="14"/>
      <c r="FJY17" s="14"/>
      <c r="FJZ17" s="14"/>
      <c r="FKA17" s="14"/>
      <c r="FKB17" s="14"/>
      <c r="FKC17" s="14"/>
      <c r="FKD17" s="14"/>
      <c r="FKE17" s="14"/>
      <c r="FKF17" s="14"/>
      <c r="FKG17" s="14"/>
      <c r="FKH17" s="14"/>
      <c r="FKI17" s="14"/>
      <c r="FKJ17" s="14"/>
      <c r="FKK17" s="14"/>
      <c r="FKL17" s="14"/>
      <c r="FKM17" s="14"/>
      <c r="FKN17" s="14"/>
      <c r="FKO17" s="14"/>
      <c r="FKP17" s="14"/>
      <c r="FKQ17" s="14"/>
      <c r="FKR17" s="14"/>
      <c r="FKS17" s="14"/>
      <c r="FKT17" s="14"/>
      <c r="FKU17" s="14"/>
      <c r="FKV17" s="14"/>
      <c r="FKW17" s="14"/>
      <c r="FKX17" s="14"/>
      <c r="FKY17" s="14"/>
      <c r="FKZ17" s="14"/>
      <c r="FLA17" s="14"/>
      <c r="FLB17" s="14"/>
      <c r="FLC17" s="14"/>
      <c r="FLD17" s="14"/>
      <c r="FLE17" s="14"/>
      <c r="FLF17" s="14"/>
      <c r="FLG17" s="14"/>
      <c r="FLH17" s="14"/>
      <c r="FLI17" s="14"/>
      <c r="FLJ17" s="14"/>
      <c r="FLK17" s="14"/>
      <c r="FLL17" s="14"/>
      <c r="FLM17" s="14"/>
      <c r="FLN17" s="14"/>
      <c r="FLO17" s="14"/>
      <c r="FLP17" s="14"/>
      <c r="FLQ17" s="14"/>
      <c r="FLR17" s="14"/>
      <c r="FLS17" s="14"/>
      <c r="FLT17" s="14"/>
      <c r="FLU17" s="14"/>
      <c r="FLV17" s="14"/>
      <c r="FLW17" s="14"/>
      <c r="FLX17" s="14"/>
      <c r="FLY17" s="14"/>
      <c r="FLZ17" s="14"/>
      <c r="FMA17" s="14"/>
      <c r="FMB17" s="14"/>
      <c r="FMC17" s="14"/>
      <c r="FMD17" s="14"/>
      <c r="FME17" s="14"/>
      <c r="FMF17" s="14"/>
      <c r="FMG17" s="14"/>
      <c r="FMH17" s="14"/>
      <c r="FMI17" s="14"/>
      <c r="FMJ17" s="14"/>
      <c r="FMK17" s="14"/>
      <c r="FML17" s="14"/>
      <c r="FMM17" s="14"/>
      <c r="FMN17" s="14"/>
      <c r="FMO17" s="14"/>
      <c r="FMP17" s="14"/>
      <c r="FMQ17" s="14"/>
      <c r="FMR17" s="14"/>
      <c r="FMS17" s="14"/>
      <c r="FMT17" s="14"/>
      <c r="FMU17" s="14"/>
      <c r="FMV17" s="14"/>
      <c r="FMW17" s="14"/>
      <c r="FMX17" s="14"/>
      <c r="FMY17" s="14"/>
      <c r="FMZ17" s="14"/>
      <c r="FNA17" s="14"/>
      <c r="FNB17" s="14"/>
      <c r="FNC17" s="14"/>
      <c r="FND17" s="14"/>
      <c r="FNE17" s="14"/>
      <c r="FNF17" s="14"/>
      <c r="FNG17" s="14"/>
      <c r="FNH17" s="14"/>
      <c r="FNI17" s="14"/>
      <c r="FNJ17" s="14"/>
      <c r="FNK17" s="14"/>
      <c r="FNL17" s="14"/>
      <c r="FNM17" s="14"/>
      <c r="FNN17" s="14"/>
      <c r="FNO17" s="14"/>
      <c r="FNP17" s="14"/>
      <c r="FNQ17" s="14"/>
      <c r="FNR17" s="14"/>
      <c r="FNS17" s="14"/>
      <c r="FNT17" s="14"/>
      <c r="FNU17" s="14"/>
      <c r="FNV17" s="14"/>
      <c r="FNW17" s="14"/>
      <c r="FNX17" s="14"/>
      <c r="FNY17" s="14"/>
      <c r="FNZ17" s="14"/>
      <c r="FOA17" s="14"/>
      <c r="FOB17" s="14"/>
      <c r="FOC17" s="14"/>
      <c r="FOD17" s="14"/>
      <c r="FOE17" s="14"/>
      <c r="FOF17" s="14"/>
      <c r="FOG17" s="14"/>
      <c r="FOH17" s="14"/>
      <c r="FOI17" s="14"/>
      <c r="FOJ17" s="14"/>
      <c r="FOK17" s="14"/>
      <c r="FOL17" s="14"/>
      <c r="FOM17" s="14"/>
      <c r="FON17" s="14"/>
      <c r="FOO17" s="14"/>
      <c r="FOP17" s="14"/>
      <c r="FOQ17" s="14"/>
      <c r="FOR17" s="14"/>
      <c r="FOS17" s="14"/>
      <c r="FOT17" s="14"/>
      <c r="FOU17" s="14"/>
      <c r="FOV17" s="14"/>
      <c r="FOW17" s="14"/>
      <c r="FOX17" s="14"/>
      <c r="FOY17" s="14"/>
      <c r="FOZ17" s="14"/>
      <c r="FPA17" s="14"/>
      <c r="FPB17" s="14"/>
      <c r="FPC17" s="14"/>
      <c r="FPD17" s="14"/>
      <c r="FPE17" s="14"/>
      <c r="FPF17" s="14"/>
      <c r="FPG17" s="14"/>
      <c r="FPH17" s="14"/>
      <c r="FPI17" s="14"/>
      <c r="FPJ17" s="14"/>
      <c r="FPK17" s="14"/>
      <c r="FPL17" s="14"/>
      <c r="FPM17" s="14"/>
      <c r="FPN17" s="14"/>
      <c r="FPO17" s="14"/>
      <c r="FPP17" s="14"/>
      <c r="FPQ17" s="14"/>
      <c r="FPR17" s="14"/>
      <c r="FPS17" s="14"/>
      <c r="FPT17" s="14"/>
      <c r="FPU17" s="14"/>
      <c r="FPV17" s="14"/>
      <c r="FPW17" s="14"/>
      <c r="FPX17" s="14"/>
      <c r="FPY17" s="14"/>
      <c r="FPZ17" s="14"/>
      <c r="FQA17" s="14"/>
      <c r="FQB17" s="14"/>
      <c r="FQC17" s="14"/>
      <c r="FQD17" s="14"/>
      <c r="FQE17" s="14"/>
      <c r="FQF17" s="14"/>
      <c r="FQG17" s="14"/>
      <c r="FQH17" s="14"/>
      <c r="FQI17" s="14"/>
      <c r="FQJ17" s="14"/>
      <c r="FQK17" s="14"/>
      <c r="FQL17" s="14"/>
      <c r="FQM17" s="14"/>
      <c r="FQN17" s="14"/>
      <c r="FQO17" s="14"/>
      <c r="FQP17" s="14"/>
      <c r="FQQ17" s="14"/>
      <c r="FQR17" s="14"/>
      <c r="FQS17" s="14"/>
      <c r="FQT17" s="14"/>
      <c r="FQU17" s="14"/>
      <c r="FQV17" s="14"/>
      <c r="FQW17" s="14"/>
      <c r="FQX17" s="14"/>
      <c r="FQY17" s="14"/>
      <c r="FQZ17" s="14"/>
      <c r="FRA17" s="14"/>
      <c r="FRB17" s="14"/>
      <c r="FRC17" s="14"/>
      <c r="FRD17" s="14"/>
      <c r="FRE17" s="14"/>
      <c r="FRF17" s="14"/>
      <c r="FRG17" s="14"/>
      <c r="FRH17" s="14"/>
      <c r="FRI17" s="14"/>
      <c r="FRJ17" s="14"/>
      <c r="FRK17" s="14"/>
      <c r="FRL17" s="14"/>
      <c r="FRM17" s="14"/>
      <c r="FRN17" s="14"/>
      <c r="FRO17" s="14"/>
      <c r="FRP17" s="14"/>
      <c r="FRQ17" s="14"/>
      <c r="FRR17" s="14"/>
      <c r="FRS17" s="14"/>
      <c r="FRT17" s="14"/>
      <c r="FRU17" s="14"/>
      <c r="FRV17" s="14"/>
      <c r="FRW17" s="14"/>
      <c r="FRX17" s="14"/>
      <c r="FRY17" s="14"/>
      <c r="FRZ17" s="14"/>
      <c r="FSA17" s="14"/>
      <c r="FSB17" s="14"/>
      <c r="FSC17" s="14"/>
      <c r="FSD17" s="14"/>
      <c r="FSE17" s="14"/>
      <c r="FSF17" s="14"/>
      <c r="FSG17" s="14"/>
      <c r="FSH17" s="14"/>
      <c r="FSI17" s="14"/>
      <c r="FSJ17" s="14"/>
      <c r="FSK17" s="14"/>
      <c r="FSL17" s="14"/>
      <c r="FSM17" s="14"/>
      <c r="FSN17" s="14"/>
      <c r="FSO17" s="14"/>
      <c r="FSP17" s="14"/>
      <c r="FSQ17" s="14"/>
      <c r="FSR17" s="14"/>
      <c r="FSS17" s="14"/>
      <c r="FST17" s="14"/>
      <c r="FSU17" s="14"/>
      <c r="FSV17" s="14"/>
      <c r="FSW17" s="14"/>
      <c r="FSX17" s="14"/>
      <c r="FSY17" s="14"/>
      <c r="FSZ17" s="14"/>
      <c r="FTA17" s="14"/>
      <c r="FTB17" s="14"/>
      <c r="FTC17" s="14"/>
      <c r="FTD17" s="14"/>
      <c r="FTE17" s="14"/>
      <c r="FTF17" s="14"/>
      <c r="FTG17" s="14"/>
      <c r="FTH17" s="14"/>
      <c r="FTI17" s="14"/>
      <c r="FTJ17" s="14"/>
      <c r="FTK17" s="14"/>
      <c r="FTL17" s="14"/>
      <c r="FTM17" s="14"/>
      <c r="FTN17" s="14"/>
      <c r="FTO17" s="14"/>
      <c r="FTP17" s="14"/>
      <c r="FTQ17" s="14"/>
      <c r="FTR17" s="14"/>
      <c r="FTS17" s="14"/>
      <c r="FTT17" s="14"/>
      <c r="FTU17" s="14"/>
      <c r="FTV17" s="14"/>
      <c r="FTW17" s="14"/>
      <c r="FTX17" s="14"/>
      <c r="FTY17" s="14"/>
      <c r="FTZ17" s="14"/>
      <c r="FUA17" s="14"/>
      <c r="FUB17" s="14"/>
      <c r="FUC17" s="14"/>
      <c r="FUD17" s="14"/>
      <c r="FUE17" s="14"/>
      <c r="FUF17" s="14"/>
      <c r="FUG17" s="14"/>
      <c r="FUH17" s="14"/>
      <c r="FUI17" s="14"/>
      <c r="FUJ17" s="14"/>
      <c r="FUK17" s="14"/>
      <c r="FUL17" s="14"/>
      <c r="FUM17" s="14"/>
      <c r="FUN17" s="14"/>
      <c r="FUO17" s="14"/>
      <c r="FUP17" s="14"/>
      <c r="FUQ17" s="14"/>
      <c r="FUR17" s="14"/>
      <c r="FUS17" s="14"/>
      <c r="FUT17" s="14"/>
      <c r="FUU17" s="14"/>
      <c r="FUV17" s="14"/>
      <c r="FUW17" s="14"/>
      <c r="FUX17" s="14"/>
      <c r="FUY17" s="14"/>
      <c r="FUZ17" s="14"/>
      <c r="FVA17" s="14"/>
      <c r="FVB17" s="14"/>
      <c r="FVC17" s="14"/>
      <c r="FVD17" s="14"/>
      <c r="FVE17" s="14"/>
      <c r="FVF17" s="14"/>
      <c r="FVG17" s="14"/>
      <c r="FVH17" s="14"/>
      <c r="FVI17" s="14"/>
      <c r="FVJ17" s="14"/>
      <c r="FVK17" s="14"/>
      <c r="FVL17" s="14"/>
      <c r="FVM17" s="14"/>
      <c r="FVN17" s="14"/>
      <c r="FVO17" s="14"/>
      <c r="FVP17" s="14"/>
      <c r="FVQ17" s="14"/>
      <c r="FVR17" s="14"/>
      <c r="FVS17" s="14"/>
      <c r="FVT17" s="14"/>
      <c r="FVU17" s="14"/>
      <c r="FVV17" s="14"/>
      <c r="FVW17" s="14"/>
      <c r="FVX17" s="14"/>
      <c r="FVY17" s="14"/>
      <c r="FVZ17" s="14"/>
      <c r="FWA17" s="14"/>
      <c r="FWB17" s="14"/>
      <c r="FWC17" s="14"/>
      <c r="FWD17" s="14"/>
      <c r="FWE17" s="14"/>
      <c r="FWF17" s="14"/>
      <c r="FWG17" s="14"/>
      <c r="FWH17" s="14"/>
      <c r="FWI17" s="14"/>
      <c r="FWJ17" s="14"/>
      <c r="FWK17" s="14"/>
      <c r="FWL17" s="14"/>
      <c r="FWM17" s="14"/>
      <c r="FWN17" s="14"/>
      <c r="FWO17" s="14"/>
      <c r="FWP17" s="14"/>
      <c r="FWQ17" s="14"/>
      <c r="FWR17" s="14"/>
      <c r="FWS17" s="14"/>
      <c r="FWT17" s="14"/>
      <c r="FWU17" s="14"/>
      <c r="FWV17" s="14"/>
      <c r="FWW17" s="14"/>
      <c r="FWX17" s="14"/>
      <c r="FWY17" s="14"/>
      <c r="FWZ17" s="14"/>
      <c r="FXA17" s="14"/>
      <c r="FXB17" s="14"/>
      <c r="FXC17" s="14"/>
      <c r="FXD17" s="14"/>
      <c r="FXE17" s="14"/>
      <c r="FXF17" s="14"/>
      <c r="FXG17" s="14"/>
      <c r="FXH17" s="14"/>
      <c r="FXI17" s="14"/>
      <c r="FXJ17" s="14"/>
      <c r="FXK17" s="14"/>
      <c r="FXL17" s="14"/>
      <c r="FXM17" s="14"/>
      <c r="FXN17" s="14"/>
      <c r="FXO17" s="14"/>
      <c r="FXP17" s="14"/>
      <c r="FXQ17" s="14"/>
      <c r="FXR17" s="14"/>
      <c r="FXS17" s="14"/>
      <c r="FXT17" s="14"/>
      <c r="FXU17" s="14"/>
      <c r="FXV17" s="14"/>
      <c r="FXW17" s="14"/>
      <c r="FXX17" s="14"/>
      <c r="FXY17" s="14"/>
      <c r="FXZ17" s="14"/>
      <c r="FYA17" s="14"/>
      <c r="FYB17" s="14"/>
      <c r="FYC17" s="14"/>
      <c r="FYD17" s="14"/>
      <c r="FYE17" s="14"/>
      <c r="FYF17" s="14"/>
      <c r="FYG17" s="14"/>
      <c r="FYH17" s="14"/>
      <c r="FYI17" s="14"/>
      <c r="FYJ17" s="14"/>
      <c r="FYK17" s="14"/>
      <c r="FYL17" s="14"/>
      <c r="FYM17" s="14"/>
      <c r="FYN17" s="14"/>
      <c r="FYO17" s="14"/>
      <c r="FYP17" s="14"/>
      <c r="FYQ17" s="14"/>
      <c r="FYR17" s="14"/>
      <c r="FYS17" s="14"/>
      <c r="FYT17" s="14"/>
      <c r="FYU17" s="14"/>
      <c r="FYV17" s="14"/>
      <c r="FYW17" s="14"/>
      <c r="FYX17" s="14"/>
      <c r="FYY17" s="14"/>
      <c r="FYZ17" s="14"/>
      <c r="FZA17" s="14"/>
      <c r="FZB17" s="14"/>
      <c r="FZC17" s="14"/>
      <c r="FZD17" s="14"/>
      <c r="FZE17" s="14"/>
      <c r="FZF17" s="14"/>
      <c r="FZG17" s="14"/>
      <c r="FZH17" s="14"/>
      <c r="FZI17" s="14"/>
      <c r="FZJ17" s="14"/>
      <c r="FZK17" s="14"/>
      <c r="FZL17" s="14"/>
      <c r="FZM17" s="14"/>
      <c r="FZN17" s="14"/>
      <c r="FZO17" s="14"/>
      <c r="FZP17" s="14"/>
      <c r="FZQ17" s="14"/>
      <c r="FZR17" s="14"/>
      <c r="FZS17" s="14"/>
      <c r="FZT17" s="14"/>
      <c r="FZU17" s="14"/>
      <c r="FZV17" s="14"/>
      <c r="FZW17" s="14"/>
      <c r="FZX17" s="14"/>
      <c r="FZY17" s="14"/>
      <c r="FZZ17" s="14"/>
      <c r="GAA17" s="14"/>
      <c r="GAB17" s="14"/>
      <c r="GAC17" s="14"/>
      <c r="GAD17" s="14"/>
      <c r="GAE17" s="14"/>
      <c r="GAF17" s="14"/>
      <c r="GAG17" s="14"/>
      <c r="GAH17" s="14"/>
      <c r="GAI17" s="14"/>
      <c r="GAJ17" s="14"/>
      <c r="GAK17" s="14"/>
      <c r="GAL17" s="14"/>
      <c r="GAM17" s="14"/>
      <c r="GAN17" s="14"/>
      <c r="GAO17" s="14"/>
      <c r="GAP17" s="14"/>
      <c r="GAQ17" s="14"/>
      <c r="GAR17" s="14"/>
      <c r="GAS17" s="14"/>
      <c r="GAT17" s="14"/>
      <c r="GAU17" s="14"/>
      <c r="GAV17" s="14"/>
      <c r="GAW17" s="14"/>
      <c r="GAX17" s="14"/>
      <c r="GAY17" s="14"/>
      <c r="GAZ17" s="14"/>
      <c r="GBA17" s="14"/>
      <c r="GBB17" s="14"/>
      <c r="GBC17" s="14"/>
      <c r="GBD17" s="14"/>
      <c r="GBE17" s="14"/>
      <c r="GBF17" s="14"/>
      <c r="GBG17" s="14"/>
      <c r="GBH17" s="14"/>
      <c r="GBI17" s="14"/>
      <c r="GBJ17" s="14"/>
      <c r="GBK17" s="14"/>
      <c r="GBL17" s="14"/>
      <c r="GBM17" s="14"/>
      <c r="GBN17" s="14"/>
      <c r="GBO17" s="14"/>
      <c r="GBP17" s="14"/>
      <c r="GBQ17" s="14"/>
      <c r="GBR17" s="14"/>
      <c r="GBS17" s="14"/>
      <c r="GBT17" s="14"/>
      <c r="GBU17" s="14"/>
      <c r="GBV17" s="14"/>
      <c r="GBW17" s="14"/>
      <c r="GBX17" s="14"/>
      <c r="GBY17" s="14"/>
      <c r="GBZ17" s="14"/>
      <c r="GCA17" s="14"/>
      <c r="GCB17" s="14"/>
      <c r="GCC17" s="14"/>
      <c r="GCD17" s="14"/>
      <c r="GCE17" s="14"/>
      <c r="GCF17" s="14"/>
      <c r="GCG17" s="14"/>
      <c r="GCH17" s="14"/>
      <c r="GCI17" s="14"/>
      <c r="GCJ17" s="14"/>
      <c r="GCK17" s="14"/>
      <c r="GCL17" s="14"/>
      <c r="GCM17" s="14"/>
      <c r="GCN17" s="14"/>
      <c r="GCO17" s="14"/>
      <c r="GCP17" s="14"/>
      <c r="GCQ17" s="14"/>
      <c r="GCR17" s="14"/>
      <c r="GCS17" s="14"/>
      <c r="GCT17" s="14"/>
      <c r="GCU17" s="14"/>
      <c r="GCV17" s="14"/>
      <c r="GCW17" s="14"/>
      <c r="GCX17" s="14"/>
      <c r="GCY17" s="14"/>
      <c r="GCZ17" s="14"/>
      <c r="GDA17" s="14"/>
      <c r="GDB17" s="14"/>
      <c r="GDC17" s="14"/>
      <c r="GDD17" s="14"/>
      <c r="GDE17" s="14"/>
      <c r="GDF17" s="14"/>
      <c r="GDG17" s="14"/>
      <c r="GDH17" s="14"/>
      <c r="GDI17" s="14"/>
      <c r="GDJ17" s="14"/>
      <c r="GDK17" s="14"/>
      <c r="GDL17" s="14"/>
      <c r="GDM17" s="14"/>
      <c r="GDN17" s="14"/>
      <c r="GDO17" s="14"/>
      <c r="GDP17" s="14"/>
      <c r="GDQ17" s="14"/>
      <c r="GDR17" s="14"/>
      <c r="GDS17" s="14"/>
      <c r="GDT17" s="14"/>
      <c r="GDU17" s="14"/>
      <c r="GDV17" s="14"/>
      <c r="GDW17" s="14"/>
      <c r="GDX17" s="14"/>
      <c r="GDY17" s="14"/>
      <c r="GDZ17" s="14"/>
      <c r="GEA17" s="14"/>
      <c r="GEB17" s="14"/>
      <c r="GEC17" s="14"/>
      <c r="GED17" s="14"/>
      <c r="GEE17" s="14"/>
      <c r="GEF17" s="14"/>
      <c r="GEG17" s="14"/>
      <c r="GEH17" s="14"/>
      <c r="GEI17" s="14"/>
      <c r="GEJ17" s="14"/>
      <c r="GEK17" s="14"/>
      <c r="GEL17" s="14"/>
      <c r="GEM17" s="14"/>
      <c r="GEN17" s="14"/>
      <c r="GEO17" s="14"/>
      <c r="GEP17" s="14"/>
      <c r="GEQ17" s="14"/>
      <c r="GER17" s="14"/>
      <c r="GES17" s="14"/>
      <c r="GET17" s="14"/>
      <c r="GEU17" s="14"/>
      <c r="GEV17" s="14"/>
      <c r="GEW17" s="14"/>
      <c r="GEX17" s="14"/>
      <c r="GEY17" s="14"/>
      <c r="GEZ17" s="14"/>
      <c r="GFA17" s="14"/>
      <c r="GFB17" s="14"/>
      <c r="GFC17" s="14"/>
      <c r="GFD17" s="14"/>
      <c r="GFE17" s="14"/>
      <c r="GFF17" s="14"/>
      <c r="GFG17" s="14"/>
      <c r="GFH17" s="14"/>
      <c r="GFI17" s="14"/>
      <c r="GFJ17" s="14"/>
      <c r="GFK17" s="14"/>
      <c r="GFL17" s="14"/>
      <c r="GFM17" s="14"/>
      <c r="GFN17" s="14"/>
      <c r="GFO17" s="14"/>
      <c r="GFP17" s="14"/>
      <c r="GFQ17" s="14"/>
      <c r="GFR17" s="14"/>
      <c r="GFS17" s="14"/>
      <c r="GFT17" s="14"/>
      <c r="GFU17" s="14"/>
      <c r="GFV17" s="14"/>
      <c r="GFW17" s="14"/>
      <c r="GFX17" s="14"/>
      <c r="GFY17" s="14"/>
      <c r="GFZ17" s="14"/>
      <c r="GGA17" s="14"/>
      <c r="GGB17" s="14"/>
      <c r="GGC17" s="14"/>
      <c r="GGD17" s="14"/>
      <c r="GGE17" s="14"/>
      <c r="GGF17" s="14"/>
      <c r="GGG17" s="14"/>
      <c r="GGH17" s="14"/>
      <c r="GGI17" s="14"/>
      <c r="GGJ17" s="14"/>
      <c r="GGK17" s="14"/>
      <c r="GGL17" s="14"/>
      <c r="GGM17" s="14"/>
      <c r="GGN17" s="14"/>
      <c r="GGO17" s="14"/>
      <c r="GGP17" s="14"/>
      <c r="GGQ17" s="14"/>
      <c r="GGR17" s="14"/>
      <c r="GGS17" s="14"/>
      <c r="GGT17" s="14"/>
      <c r="GGU17" s="14"/>
      <c r="GGV17" s="14"/>
      <c r="GGW17" s="14"/>
      <c r="GGX17" s="14"/>
      <c r="GGY17" s="14"/>
      <c r="GGZ17" s="14"/>
      <c r="GHA17" s="14"/>
      <c r="GHB17" s="14"/>
      <c r="GHC17" s="14"/>
      <c r="GHD17" s="14"/>
      <c r="GHE17" s="14"/>
      <c r="GHF17" s="14"/>
      <c r="GHG17" s="14"/>
      <c r="GHH17" s="14"/>
      <c r="GHI17" s="14"/>
      <c r="GHJ17" s="14"/>
      <c r="GHK17" s="14"/>
      <c r="GHL17" s="14"/>
      <c r="GHM17" s="14"/>
      <c r="GHN17" s="14"/>
      <c r="GHO17" s="14"/>
      <c r="GHP17" s="14"/>
      <c r="GHQ17" s="14"/>
      <c r="GHR17" s="14"/>
      <c r="GHS17" s="14"/>
      <c r="GHT17" s="14"/>
      <c r="GHU17" s="14"/>
      <c r="GHV17" s="14"/>
      <c r="GHW17" s="14"/>
      <c r="GHX17" s="14"/>
      <c r="GHY17" s="14"/>
      <c r="GHZ17" s="14"/>
      <c r="GIA17" s="14"/>
      <c r="GIB17" s="14"/>
      <c r="GIC17" s="14"/>
      <c r="GID17" s="14"/>
      <c r="GIE17" s="14"/>
      <c r="GIF17" s="14"/>
      <c r="GIG17" s="14"/>
      <c r="GIH17" s="14"/>
      <c r="GII17" s="14"/>
      <c r="GIJ17" s="14"/>
      <c r="GIK17" s="14"/>
      <c r="GIL17" s="14"/>
      <c r="GIM17" s="14"/>
      <c r="GIN17" s="14"/>
      <c r="GIO17" s="14"/>
      <c r="GIP17" s="14"/>
      <c r="GIQ17" s="14"/>
      <c r="GIR17" s="14"/>
      <c r="GIS17" s="14"/>
      <c r="GIT17" s="14"/>
      <c r="GIU17" s="14"/>
      <c r="GIV17" s="14"/>
      <c r="GIW17" s="14"/>
      <c r="GIX17" s="14"/>
      <c r="GIY17" s="14"/>
      <c r="GIZ17" s="14"/>
      <c r="GJA17" s="14"/>
      <c r="GJB17" s="14"/>
      <c r="GJC17" s="14"/>
      <c r="GJD17" s="14"/>
      <c r="GJE17" s="14"/>
      <c r="GJF17" s="14"/>
      <c r="GJG17" s="14"/>
      <c r="GJH17" s="14"/>
      <c r="GJI17" s="14"/>
      <c r="GJJ17" s="14"/>
      <c r="GJK17" s="14"/>
      <c r="GJL17" s="14"/>
      <c r="GJM17" s="14"/>
      <c r="GJN17" s="14"/>
      <c r="GJO17" s="14"/>
      <c r="GJP17" s="14"/>
      <c r="GJQ17" s="14"/>
      <c r="GJR17" s="14"/>
      <c r="GJS17" s="14"/>
      <c r="GJT17" s="14"/>
      <c r="GJU17" s="14"/>
      <c r="GJV17" s="14"/>
      <c r="GJW17" s="14"/>
      <c r="GJX17" s="14"/>
      <c r="GJY17" s="14"/>
      <c r="GJZ17" s="14"/>
      <c r="GKA17" s="14"/>
      <c r="GKB17" s="14"/>
      <c r="GKC17" s="14"/>
      <c r="GKD17" s="14"/>
      <c r="GKE17" s="14"/>
      <c r="GKF17" s="14"/>
      <c r="GKG17" s="14"/>
      <c r="GKH17" s="14"/>
      <c r="GKI17" s="14"/>
      <c r="GKJ17" s="14"/>
      <c r="GKK17" s="14"/>
      <c r="GKL17" s="14"/>
      <c r="GKM17" s="14"/>
      <c r="GKN17" s="14"/>
      <c r="GKO17" s="14"/>
      <c r="GKP17" s="14"/>
      <c r="GKQ17" s="14"/>
      <c r="GKR17" s="14"/>
      <c r="GKS17" s="14"/>
      <c r="GKT17" s="14"/>
      <c r="GKU17" s="14"/>
      <c r="GKV17" s="14"/>
      <c r="GKW17" s="14"/>
      <c r="GKX17" s="14"/>
      <c r="GKY17" s="14"/>
      <c r="GKZ17" s="14"/>
      <c r="GLA17" s="14"/>
      <c r="GLB17" s="14"/>
      <c r="GLC17" s="14"/>
      <c r="GLD17" s="14"/>
      <c r="GLE17" s="14"/>
      <c r="GLF17" s="14"/>
      <c r="GLG17" s="14"/>
      <c r="GLH17" s="14"/>
      <c r="GLI17" s="14"/>
      <c r="GLJ17" s="14"/>
      <c r="GLK17" s="14"/>
      <c r="GLL17" s="14"/>
      <c r="GLM17" s="14"/>
      <c r="GLN17" s="14"/>
      <c r="GLO17" s="14"/>
      <c r="GLP17" s="14"/>
      <c r="GLQ17" s="14"/>
      <c r="GLR17" s="14"/>
      <c r="GLS17" s="14"/>
      <c r="GLT17" s="14"/>
      <c r="GLU17" s="14"/>
      <c r="GLV17" s="14"/>
      <c r="GLW17" s="14"/>
      <c r="GLX17" s="14"/>
      <c r="GLY17" s="14"/>
      <c r="GLZ17" s="14"/>
      <c r="GMA17" s="14"/>
      <c r="GMB17" s="14"/>
      <c r="GMC17" s="14"/>
      <c r="GMD17" s="14"/>
      <c r="GME17" s="14"/>
      <c r="GMF17" s="14"/>
      <c r="GMG17" s="14"/>
      <c r="GMH17" s="14"/>
      <c r="GMI17" s="14"/>
      <c r="GMJ17" s="14"/>
      <c r="GMK17" s="14"/>
      <c r="GML17" s="14"/>
      <c r="GMM17" s="14"/>
      <c r="GMN17" s="14"/>
      <c r="GMO17" s="14"/>
      <c r="GMP17" s="14"/>
      <c r="GMQ17" s="14"/>
      <c r="GMR17" s="14"/>
      <c r="GMS17" s="14"/>
      <c r="GMT17" s="14"/>
      <c r="GMU17" s="14"/>
      <c r="GMV17" s="14"/>
      <c r="GMW17" s="14"/>
      <c r="GMX17" s="14"/>
      <c r="GMY17" s="14"/>
      <c r="GMZ17" s="14"/>
      <c r="GNA17" s="14"/>
      <c r="GNB17" s="14"/>
      <c r="GNC17" s="14"/>
      <c r="GND17" s="14"/>
      <c r="GNE17" s="14"/>
      <c r="GNF17" s="14"/>
      <c r="GNG17" s="14"/>
      <c r="GNH17" s="14"/>
      <c r="GNI17" s="14"/>
      <c r="GNJ17" s="14"/>
      <c r="GNK17" s="14"/>
      <c r="GNL17" s="14"/>
      <c r="GNM17" s="14"/>
      <c r="GNN17" s="14"/>
      <c r="GNO17" s="14"/>
      <c r="GNP17" s="14"/>
      <c r="GNQ17" s="14"/>
      <c r="GNR17" s="14"/>
      <c r="GNS17" s="14"/>
      <c r="GNT17" s="14"/>
      <c r="GNU17" s="14"/>
      <c r="GNV17" s="14"/>
      <c r="GNW17" s="14"/>
      <c r="GNX17" s="14"/>
      <c r="GNY17" s="14"/>
      <c r="GNZ17" s="14"/>
      <c r="GOA17" s="14"/>
      <c r="GOB17" s="14"/>
      <c r="GOC17" s="14"/>
      <c r="GOD17" s="14"/>
      <c r="GOE17" s="14"/>
      <c r="GOF17" s="14"/>
      <c r="GOG17" s="14"/>
      <c r="GOH17" s="14"/>
      <c r="GOI17" s="14"/>
      <c r="GOJ17" s="14"/>
      <c r="GOK17" s="14"/>
      <c r="GOL17" s="14"/>
      <c r="GOM17" s="14"/>
      <c r="GON17" s="14"/>
      <c r="GOO17" s="14"/>
      <c r="GOP17" s="14"/>
      <c r="GOQ17" s="14"/>
      <c r="GOR17" s="14"/>
      <c r="GOS17" s="14"/>
      <c r="GOT17" s="14"/>
      <c r="GOU17" s="14"/>
      <c r="GOV17" s="14"/>
      <c r="GOW17" s="14"/>
      <c r="GOX17" s="14"/>
      <c r="GOY17" s="14"/>
      <c r="GOZ17" s="14"/>
      <c r="GPA17" s="14"/>
      <c r="GPB17" s="14"/>
      <c r="GPC17" s="14"/>
      <c r="GPD17" s="14"/>
      <c r="GPE17" s="14"/>
      <c r="GPF17" s="14"/>
      <c r="GPG17" s="14"/>
      <c r="GPH17" s="14"/>
      <c r="GPI17" s="14"/>
      <c r="GPJ17" s="14"/>
      <c r="GPK17" s="14"/>
      <c r="GPL17" s="14"/>
      <c r="GPM17" s="14"/>
      <c r="GPN17" s="14"/>
      <c r="GPO17" s="14"/>
      <c r="GPP17" s="14"/>
      <c r="GPQ17" s="14"/>
      <c r="GPR17" s="14"/>
      <c r="GPS17" s="14"/>
      <c r="GPT17" s="14"/>
      <c r="GPU17" s="14"/>
      <c r="GPV17" s="14"/>
      <c r="GPW17" s="14"/>
      <c r="GPX17" s="14"/>
      <c r="GPY17" s="14"/>
      <c r="GPZ17" s="14"/>
      <c r="GQA17" s="14"/>
      <c r="GQB17" s="14"/>
      <c r="GQC17" s="14"/>
      <c r="GQD17" s="14"/>
      <c r="GQE17" s="14"/>
      <c r="GQF17" s="14"/>
      <c r="GQG17" s="14"/>
      <c r="GQH17" s="14"/>
      <c r="GQI17" s="14"/>
      <c r="GQJ17" s="14"/>
      <c r="GQK17" s="14"/>
      <c r="GQL17" s="14"/>
      <c r="GQM17" s="14"/>
      <c r="GQN17" s="14"/>
      <c r="GQO17" s="14"/>
      <c r="GQP17" s="14"/>
      <c r="GQQ17" s="14"/>
      <c r="GQR17" s="14"/>
      <c r="GQS17" s="14"/>
      <c r="GQT17" s="14"/>
      <c r="GQU17" s="14"/>
      <c r="GQV17" s="14"/>
      <c r="GQW17" s="14"/>
      <c r="GQX17" s="14"/>
      <c r="GQY17" s="14"/>
      <c r="GQZ17" s="14"/>
      <c r="GRA17" s="14"/>
      <c r="GRB17" s="14"/>
      <c r="GRC17" s="14"/>
      <c r="GRD17" s="14"/>
      <c r="GRE17" s="14"/>
      <c r="GRF17" s="14"/>
      <c r="GRG17" s="14"/>
      <c r="GRH17" s="14"/>
      <c r="GRI17" s="14"/>
      <c r="GRJ17" s="14"/>
      <c r="GRK17" s="14"/>
      <c r="GRL17" s="14"/>
      <c r="GRM17" s="14"/>
      <c r="GRN17" s="14"/>
      <c r="GRO17" s="14"/>
      <c r="GRP17" s="14"/>
      <c r="GRQ17" s="14"/>
      <c r="GRR17" s="14"/>
      <c r="GRS17" s="14"/>
      <c r="GRT17" s="14"/>
      <c r="GRU17" s="14"/>
      <c r="GRV17" s="14"/>
      <c r="GRW17" s="14"/>
      <c r="GRX17" s="14"/>
      <c r="GRY17" s="14"/>
      <c r="GRZ17" s="14"/>
      <c r="GSA17" s="14"/>
      <c r="GSB17" s="14"/>
      <c r="GSC17" s="14"/>
      <c r="GSD17" s="14"/>
      <c r="GSE17" s="14"/>
      <c r="GSF17" s="14"/>
      <c r="GSG17" s="14"/>
      <c r="GSH17" s="14"/>
      <c r="GSI17" s="14"/>
      <c r="GSJ17" s="14"/>
      <c r="GSK17" s="14"/>
      <c r="GSL17" s="14"/>
      <c r="GSM17" s="14"/>
      <c r="GSN17" s="14"/>
      <c r="GSO17" s="14"/>
      <c r="GSP17" s="14"/>
      <c r="GSQ17" s="14"/>
      <c r="GSR17" s="14"/>
      <c r="GSS17" s="14"/>
      <c r="GST17" s="14"/>
      <c r="GSU17" s="14"/>
      <c r="GSV17" s="14"/>
      <c r="GSW17" s="14"/>
      <c r="GSX17" s="14"/>
      <c r="GSY17" s="14"/>
      <c r="GSZ17" s="14"/>
      <c r="GTA17" s="14"/>
      <c r="GTB17" s="14"/>
      <c r="GTC17" s="14"/>
      <c r="GTD17" s="14"/>
      <c r="GTE17" s="14"/>
      <c r="GTF17" s="14"/>
      <c r="GTG17" s="14"/>
      <c r="GTH17" s="14"/>
      <c r="GTI17" s="14"/>
      <c r="GTJ17" s="14"/>
      <c r="GTK17" s="14"/>
      <c r="GTL17" s="14"/>
      <c r="GTM17" s="14"/>
      <c r="GTN17" s="14"/>
      <c r="GTO17" s="14"/>
      <c r="GTP17" s="14"/>
      <c r="GTQ17" s="14"/>
      <c r="GTR17" s="14"/>
      <c r="GTS17" s="14"/>
      <c r="GTT17" s="14"/>
      <c r="GTU17" s="14"/>
      <c r="GTV17" s="14"/>
      <c r="GTW17" s="14"/>
      <c r="GTX17" s="14"/>
      <c r="GTY17" s="14"/>
      <c r="GTZ17" s="14"/>
      <c r="GUA17" s="14"/>
      <c r="GUB17" s="14"/>
      <c r="GUC17" s="14"/>
      <c r="GUD17" s="14"/>
      <c r="GUE17" s="14"/>
      <c r="GUF17" s="14"/>
      <c r="GUG17" s="14"/>
      <c r="GUH17" s="14"/>
      <c r="GUI17" s="14"/>
      <c r="GUJ17" s="14"/>
      <c r="GUK17" s="14"/>
      <c r="GUL17" s="14"/>
      <c r="GUM17" s="14"/>
      <c r="GUN17" s="14"/>
      <c r="GUO17" s="14"/>
      <c r="GUP17" s="14"/>
      <c r="GUQ17" s="14"/>
      <c r="GUR17" s="14"/>
      <c r="GUS17" s="14"/>
      <c r="GUT17" s="14"/>
      <c r="GUU17" s="14"/>
      <c r="GUV17" s="14"/>
      <c r="GUW17" s="14"/>
      <c r="GUX17" s="14"/>
      <c r="GUY17" s="14"/>
      <c r="GUZ17" s="14"/>
      <c r="GVA17" s="14"/>
      <c r="GVB17" s="14"/>
      <c r="GVC17" s="14"/>
      <c r="GVD17" s="14"/>
      <c r="GVE17" s="14"/>
      <c r="GVF17" s="14"/>
      <c r="GVG17" s="14"/>
      <c r="GVH17" s="14"/>
      <c r="GVI17" s="14"/>
      <c r="GVJ17" s="14"/>
      <c r="GVK17" s="14"/>
      <c r="GVL17" s="14"/>
      <c r="GVM17" s="14"/>
      <c r="GVN17" s="14"/>
      <c r="GVO17" s="14"/>
      <c r="GVP17" s="14"/>
      <c r="GVQ17" s="14"/>
      <c r="GVR17" s="14"/>
      <c r="GVS17" s="14"/>
      <c r="GVT17" s="14"/>
      <c r="GVU17" s="14"/>
      <c r="GVV17" s="14"/>
      <c r="GVW17" s="14"/>
      <c r="GVX17" s="14"/>
      <c r="GVY17" s="14"/>
      <c r="GVZ17" s="14"/>
      <c r="GWA17" s="14"/>
      <c r="GWB17" s="14"/>
      <c r="GWC17" s="14"/>
      <c r="GWD17" s="14"/>
      <c r="GWE17" s="14"/>
      <c r="GWF17" s="14"/>
      <c r="GWG17" s="14"/>
      <c r="GWH17" s="14"/>
      <c r="GWI17" s="14"/>
      <c r="GWJ17" s="14"/>
      <c r="GWK17" s="14"/>
      <c r="GWL17" s="14"/>
      <c r="GWM17" s="14"/>
      <c r="GWN17" s="14"/>
      <c r="GWO17" s="14"/>
      <c r="GWP17" s="14"/>
      <c r="GWQ17" s="14"/>
      <c r="GWR17" s="14"/>
      <c r="GWS17" s="14"/>
      <c r="GWT17" s="14"/>
      <c r="GWU17" s="14"/>
      <c r="GWV17" s="14"/>
      <c r="GWW17" s="14"/>
      <c r="GWX17" s="14"/>
      <c r="GWY17" s="14"/>
      <c r="GWZ17" s="14"/>
      <c r="GXA17" s="14"/>
      <c r="GXB17" s="14"/>
      <c r="GXC17" s="14"/>
      <c r="GXD17" s="14"/>
      <c r="GXE17" s="14"/>
      <c r="GXF17" s="14"/>
      <c r="GXG17" s="14"/>
      <c r="GXH17" s="14"/>
      <c r="GXI17" s="14"/>
      <c r="GXJ17" s="14"/>
      <c r="GXK17" s="14"/>
      <c r="GXL17" s="14"/>
      <c r="GXM17" s="14"/>
      <c r="GXN17" s="14"/>
      <c r="GXO17" s="14"/>
      <c r="GXP17" s="14"/>
      <c r="GXQ17" s="14"/>
      <c r="GXR17" s="14"/>
      <c r="GXS17" s="14"/>
      <c r="GXT17" s="14"/>
      <c r="GXU17" s="14"/>
      <c r="GXV17" s="14"/>
      <c r="GXW17" s="14"/>
      <c r="GXX17" s="14"/>
      <c r="GXY17" s="14"/>
      <c r="GXZ17" s="14"/>
      <c r="GYA17" s="14"/>
      <c r="GYB17" s="14"/>
      <c r="GYC17" s="14"/>
      <c r="GYD17" s="14"/>
      <c r="GYE17" s="14"/>
      <c r="GYF17" s="14"/>
      <c r="GYG17" s="14"/>
      <c r="GYH17" s="14"/>
      <c r="GYI17" s="14"/>
      <c r="GYJ17" s="14"/>
      <c r="GYK17" s="14"/>
      <c r="GYL17" s="14"/>
      <c r="GYM17" s="14"/>
      <c r="GYN17" s="14"/>
      <c r="GYO17" s="14"/>
      <c r="GYP17" s="14"/>
      <c r="GYQ17" s="14"/>
      <c r="GYR17" s="14"/>
      <c r="GYS17" s="14"/>
      <c r="GYT17" s="14"/>
      <c r="GYU17" s="14"/>
      <c r="GYV17" s="14"/>
      <c r="GYW17" s="14"/>
      <c r="GYX17" s="14"/>
      <c r="GYY17" s="14"/>
      <c r="GYZ17" s="14"/>
      <c r="GZA17" s="14"/>
      <c r="GZB17" s="14"/>
      <c r="GZC17" s="14"/>
      <c r="GZD17" s="14"/>
      <c r="GZE17" s="14"/>
      <c r="GZF17" s="14"/>
      <c r="GZG17" s="14"/>
      <c r="GZH17" s="14"/>
      <c r="GZI17" s="14"/>
      <c r="GZJ17" s="14"/>
      <c r="GZK17" s="14"/>
      <c r="GZL17" s="14"/>
      <c r="GZM17" s="14"/>
      <c r="GZN17" s="14"/>
      <c r="GZO17" s="14"/>
      <c r="GZP17" s="14"/>
      <c r="GZQ17" s="14"/>
      <c r="GZR17" s="14"/>
      <c r="GZS17" s="14"/>
      <c r="GZT17" s="14"/>
      <c r="GZU17" s="14"/>
      <c r="GZV17" s="14"/>
      <c r="GZW17" s="14"/>
      <c r="GZX17" s="14"/>
      <c r="GZY17" s="14"/>
      <c r="GZZ17" s="14"/>
      <c r="HAA17" s="14"/>
      <c r="HAB17" s="14"/>
      <c r="HAC17" s="14"/>
      <c r="HAD17" s="14"/>
      <c r="HAE17" s="14"/>
      <c r="HAF17" s="14"/>
      <c r="HAG17" s="14"/>
      <c r="HAH17" s="14"/>
      <c r="HAI17" s="14"/>
      <c r="HAJ17" s="14"/>
      <c r="HAK17" s="14"/>
      <c r="HAL17" s="14"/>
      <c r="HAM17" s="14"/>
      <c r="HAN17" s="14"/>
      <c r="HAO17" s="14"/>
      <c r="HAP17" s="14"/>
      <c r="HAQ17" s="14"/>
      <c r="HAR17" s="14"/>
      <c r="HAS17" s="14"/>
      <c r="HAT17" s="14"/>
      <c r="HAU17" s="14"/>
      <c r="HAV17" s="14"/>
      <c r="HAW17" s="14"/>
      <c r="HAX17" s="14"/>
      <c r="HAY17" s="14"/>
      <c r="HAZ17" s="14"/>
      <c r="HBA17" s="14"/>
      <c r="HBB17" s="14"/>
      <c r="HBC17" s="14"/>
      <c r="HBD17" s="14"/>
      <c r="HBE17" s="14"/>
      <c r="HBF17" s="14"/>
      <c r="HBG17" s="14"/>
      <c r="HBH17" s="14"/>
      <c r="HBI17" s="14"/>
      <c r="HBJ17" s="14"/>
      <c r="HBK17" s="14"/>
      <c r="HBL17" s="14"/>
      <c r="HBM17" s="14"/>
      <c r="HBN17" s="14"/>
      <c r="HBO17" s="14"/>
      <c r="HBP17" s="14"/>
      <c r="HBQ17" s="14"/>
      <c r="HBR17" s="14"/>
      <c r="HBS17" s="14"/>
      <c r="HBT17" s="14"/>
      <c r="HBU17" s="14"/>
      <c r="HBV17" s="14"/>
      <c r="HBW17" s="14"/>
      <c r="HBX17" s="14"/>
      <c r="HBY17" s="14"/>
      <c r="HBZ17" s="14"/>
      <c r="HCA17" s="14"/>
      <c r="HCB17" s="14"/>
      <c r="HCC17" s="14"/>
      <c r="HCD17" s="14"/>
      <c r="HCE17" s="14"/>
      <c r="HCF17" s="14"/>
      <c r="HCG17" s="14"/>
      <c r="HCH17" s="14"/>
      <c r="HCI17" s="14"/>
      <c r="HCJ17" s="14"/>
      <c r="HCK17" s="14"/>
      <c r="HCL17" s="14"/>
      <c r="HCM17" s="14"/>
      <c r="HCN17" s="14"/>
      <c r="HCO17" s="14"/>
      <c r="HCP17" s="14"/>
      <c r="HCQ17" s="14"/>
      <c r="HCR17" s="14"/>
      <c r="HCS17" s="14"/>
      <c r="HCT17" s="14"/>
      <c r="HCU17" s="14"/>
      <c r="HCV17" s="14"/>
      <c r="HCW17" s="14"/>
      <c r="HCX17" s="14"/>
      <c r="HCY17" s="14"/>
      <c r="HCZ17" s="14"/>
      <c r="HDA17" s="14"/>
      <c r="HDB17" s="14"/>
      <c r="HDC17" s="14"/>
      <c r="HDD17" s="14"/>
      <c r="HDE17" s="14"/>
      <c r="HDF17" s="14"/>
      <c r="HDG17" s="14"/>
      <c r="HDH17" s="14"/>
      <c r="HDI17" s="14"/>
      <c r="HDJ17" s="14"/>
      <c r="HDK17" s="14"/>
      <c r="HDL17" s="14"/>
      <c r="HDM17" s="14"/>
      <c r="HDN17" s="14"/>
      <c r="HDO17" s="14"/>
      <c r="HDP17" s="14"/>
      <c r="HDQ17" s="14"/>
      <c r="HDR17" s="14"/>
      <c r="HDS17" s="14"/>
      <c r="HDT17" s="14"/>
      <c r="HDU17" s="14"/>
      <c r="HDV17" s="14"/>
      <c r="HDW17" s="14"/>
      <c r="HDX17" s="14"/>
      <c r="HDY17" s="14"/>
      <c r="HDZ17" s="14"/>
      <c r="HEA17" s="14"/>
      <c r="HEB17" s="14"/>
      <c r="HEC17" s="14"/>
      <c r="HED17" s="14"/>
      <c r="HEE17" s="14"/>
      <c r="HEF17" s="14"/>
      <c r="HEG17" s="14"/>
      <c r="HEH17" s="14"/>
      <c r="HEI17" s="14"/>
      <c r="HEJ17" s="14"/>
      <c r="HEK17" s="14"/>
      <c r="HEL17" s="14"/>
      <c r="HEM17" s="14"/>
      <c r="HEN17" s="14"/>
      <c r="HEO17" s="14"/>
      <c r="HEP17" s="14"/>
      <c r="HEQ17" s="14"/>
      <c r="HER17" s="14"/>
      <c r="HES17" s="14"/>
      <c r="HET17" s="14"/>
      <c r="HEU17" s="14"/>
      <c r="HEV17" s="14"/>
      <c r="HEW17" s="14"/>
      <c r="HEX17" s="14"/>
      <c r="HEY17" s="14"/>
      <c r="HEZ17" s="14"/>
      <c r="HFA17" s="14"/>
      <c r="HFB17" s="14"/>
      <c r="HFC17" s="14"/>
      <c r="HFD17" s="14"/>
      <c r="HFE17" s="14"/>
      <c r="HFF17" s="14"/>
      <c r="HFG17" s="14"/>
      <c r="HFH17" s="14"/>
      <c r="HFI17" s="14"/>
      <c r="HFJ17" s="14"/>
      <c r="HFK17" s="14"/>
      <c r="HFL17" s="14"/>
      <c r="HFM17" s="14"/>
      <c r="HFN17" s="14"/>
      <c r="HFO17" s="14"/>
      <c r="HFP17" s="14"/>
      <c r="HFQ17" s="14"/>
      <c r="HFR17" s="14"/>
      <c r="HFS17" s="14"/>
      <c r="HFT17" s="14"/>
      <c r="HFU17" s="14"/>
      <c r="HFV17" s="14"/>
      <c r="HFW17" s="14"/>
      <c r="HFX17" s="14"/>
      <c r="HFY17" s="14"/>
      <c r="HFZ17" s="14"/>
      <c r="HGA17" s="14"/>
      <c r="HGB17" s="14"/>
      <c r="HGC17" s="14"/>
      <c r="HGD17" s="14"/>
      <c r="HGE17" s="14"/>
      <c r="HGF17" s="14"/>
      <c r="HGG17" s="14"/>
      <c r="HGH17" s="14"/>
      <c r="HGI17" s="14"/>
      <c r="HGJ17" s="14"/>
      <c r="HGK17" s="14"/>
      <c r="HGL17" s="14"/>
      <c r="HGM17" s="14"/>
      <c r="HGN17" s="14"/>
      <c r="HGO17" s="14"/>
      <c r="HGP17" s="14"/>
      <c r="HGQ17" s="14"/>
      <c r="HGR17" s="14"/>
      <c r="HGS17" s="14"/>
      <c r="HGT17" s="14"/>
      <c r="HGU17" s="14"/>
      <c r="HGV17" s="14"/>
      <c r="HGW17" s="14"/>
      <c r="HGX17" s="14"/>
      <c r="HGY17" s="14"/>
      <c r="HGZ17" s="14"/>
      <c r="HHA17" s="14"/>
      <c r="HHB17" s="14"/>
      <c r="HHC17" s="14"/>
      <c r="HHD17" s="14"/>
      <c r="HHE17" s="14"/>
      <c r="HHF17" s="14"/>
      <c r="HHG17" s="14"/>
      <c r="HHH17" s="14"/>
      <c r="HHI17" s="14"/>
      <c r="HHJ17" s="14"/>
      <c r="HHK17" s="14"/>
      <c r="HHL17" s="14"/>
      <c r="HHM17" s="14"/>
      <c r="HHN17" s="14"/>
      <c r="HHO17" s="14"/>
      <c r="HHP17" s="14"/>
      <c r="HHQ17" s="14"/>
      <c r="HHR17" s="14"/>
      <c r="HHS17" s="14"/>
      <c r="HHT17" s="14"/>
      <c r="HHU17" s="14"/>
      <c r="HHV17" s="14"/>
      <c r="HHW17" s="14"/>
      <c r="HHX17" s="14"/>
      <c r="HHY17" s="14"/>
      <c r="HHZ17" s="14"/>
      <c r="HIA17" s="14"/>
      <c r="HIB17" s="14"/>
      <c r="HIC17" s="14"/>
      <c r="HID17" s="14"/>
      <c r="HIE17" s="14"/>
      <c r="HIF17" s="14"/>
      <c r="HIG17" s="14"/>
      <c r="HIH17" s="14"/>
      <c r="HII17" s="14"/>
      <c r="HIJ17" s="14"/>
      <c r="HIK17" s="14"/>
      <c r="HIL17" s="14"/>
      <c r="HIM17" s="14"/>
      <c r="HIN17" s="14"/>
      <c r="HIO17" s="14"/>
      <c r="HIP17" s="14"/>
      <c r="HIQ17" s="14"/>
      <c r="HIR17" s="14"/>
      <c r="HIS17" s="14"/>
      <c r="HIT17" s="14"/>
      <c r="HIU17" s="14"/>
      <c r="HIV17" s="14"/>
      <c r="HIW17" s="14"/>
      <c r="HIX17" s="14"/>
      <c r="HIY17" s="14"/>
      <c r="HIZ17" s="14"/>
      <c r="HJA17" s="14"/>
      <c r="HJB17" s="14"/>
      <c r="HJC17" s="14"/>
      <c r="HJD17" s="14"/>
      <c r="HJE17" s="14"/>
      <c r="HJF17" s="14"/>
      <c r="HJG17" s="14"/>
      <c r="HJH17" s="14"/>
      <c r="HJI17" s="14"/>
      <c r="HJJ17" s="14"/>
      <c r="HJK17" s="14"/>
      <c r="HJL17" s="14"/>
      <c r="HJM17" s="14"/>
      <c r="HJN17" s="14"/>
      <c r="HJO17" s="14"/>
      <c r="HJP17" s="14"/>
      <c r="HJQ17" s="14"/>
      <c r="HJR17" s="14"/>
      <c r="HJS17" s="14"/>
      <c r="HJT17" s="14"/>
      <c r="HJU17" s="14"/>
      <c r="HJV17" s="14"/>
      <c r="HJW17" s="14"/>
      <c r="HJX17" s="14"/>
      <c r="HJY17" s="14"/>
      <c r="HJZ17" s="14"/>
      <c r="HKA17" s="14"/>
      <c r="HKB17" s="14"/>
      <c r="HKC17" s="14"/>
      <c r="HKD17" s="14"/>
      <c r="HKE17" s="14"/>
      <c r="HKF17" s="14"/>
      <c r="HKG17" s="14"/>
      <c r="HKH17" s="14"/>
      <c r="HKI17" s="14"/>
      <c r="HKJ17" s="14"/>
      <c r="HKK17" s="14"/>
      <c r="HKL17" s="14"/>
      <c r="HKM17" s="14"/>
      <c r="HKN17" s="14"/>
      <c r="HKO17" s="14"/>
      <c r="HKP17" s="14"/>
      <c r="HKQ17" s="14"/>
      <c r="HKR17" s="14"/>
      <c r="HKS17" s="14"/>
      <c r="HKT17" s="14"/>
      <c r="HKU17" s="14"/>
      <c r="HKV17" s="14"/>
      <c r="HKW17" s="14"/>
      <c r="HKX17" s="14"/>
      <c r="HKY17" s="14"/>
      <c r="HKZ17" s="14"/>
      <c r="HLA17" s="14"/>
      <c r="HLB17" s="14"/>
      <c r="HLC17" s="14"/>
      <c r="HLD17" s="14"/>
      <c r="HLE17" s="14"/>
      <c r="HLF17" s="14"/>
      <c r="HLG17" s="14"/>
      <c r="HLH17" s="14"/>
      <c r="HLI17" s="14"/>
      <c r="HLJ17" s="14"/>
      <c r="HLK17" s="14"/>
      <c r="HLL17" s="14"/>
      <c r="HLM17" s="14"/>
      <c r="HLN17" s="14"/>
      <c r="HLO17" s="14"/>
      <c r="HLP17" s="14"/>
      <c r="HLQ17" s="14"/>
      <c r="HLR17" s="14"/>
      <c r="HLS17" s="14"/>
      <c r="HLT17" s="14"/>
      <c r="HLU17" s="14"/>
      <c r="HLV17" s="14"/>
      <c r="HLW17" s="14"/>
      <c r="HLX17" s="14"/>
      <c r="HLY17" s="14"/>
      <c r="HLZ17" s="14"/>
      <c r="HMA17" s="14"/>
      <c r="HMB17" s="14"/>
      <c r="HMC17" s="14"/>
      <c r="HMD17" s="14"/>
      <c r="HME17" s="14"/>
      <c r="HMF17" s="14"/>
      <c r="HMG17" s="14"/>
      <c r="HMH17" s="14"/>
      <c r="HMI17" s="14"/>
      <c r="HMJ17" s="14"/>
      <c r="HMK17" s="14"/>
      <c r="HML17" s="14"/>
      <c r="HMM17" s="14"/>
      <c r="HMN17" s="14"/>
      <c r="HMO17" s="14"/>
      <c r="HMP17" s="14"/>
      <c r="HMQ17" s="14"/>
      <c r="HMR17" s="14"/>
      <c r="HMS17" s="14"/>
      <c r="HMT17" s="14"/>
      <c r="HMU17" s="14"/>
      <c r="HMV17" s="14"/>
      <c r="HMW17" s="14"/>
      <c r="HMX17" s="14"/>
      <c r="HMY17" s="14"/>
      <c r="HMZ17" s="14"/>
      <c r="HNA17" s="14"/>
      <c r="HNB17" s="14"/>
      <c r="HNC17" s="14"/>
      <c r="HND17" s="14"/>
      <c r="HNE17" s="14"/>
      <c r="HNF17" s="14"/>
      <c r="HNG17" s="14"/>
      <c r="HNH17" s="14"/>
      <c r="HNI17" s="14"/>
      <c r="HNJ17" s="14"/>
      <c r="HNK17" s="14"/>
      <c r="HNL17" s="14"/>
      <c r="HNM17" s="14"/>
      <c r="HNN17" s="14"/>
      <c r="HNO17" s="14"/>
      <c r="HNP17" s="14"/>
      <c r="HNQ17" s="14"/>
      <c r="HNR17" s="14"/>
      <c r="HNS17" s="14"/>
      <c r="HNT17" s="14"/>
      <c r="HNU17" s="14"/>
      <c r="HNV17" s="14"/>
      <c r="HNW17" s="14"/>
      <c r="HNX17" s="14"/>
      <c r="HNY17" s="14"/>
      <c r="HNZ17" s="14"/>
      <c r="HOA17" s="14"/>
      <c r="HOB17" s="14"/>
      <c r="HOC17" s="14"/>
      <c r="HOD17" s="14"/>
      <c r="HOE17" s="14"/>
      <c r="HOF17" s="14"/>
      <c r="HOG17" s="14"/>
      <c r="HOH17" s="14"/>
      <c r="HOI17" s="14"/>
      <c r="HOJ17" s="14"/>
      <c r="HOK17" s="14"/>
      <c r="HOL17" s="14"/>
      <c r="HOM17" s="14"/>
      <c r="HON17" s="14"/>
      <c r="HOO17" s="14"/>
      <c r="HOP17" s="14"/>
      <c r="HOQ17" s="14"/>
      <c r="HOR17" s="14"/>
      <c r="HOS17" s="14"/>
      <c r="HOT17" s="14"/>
      <c r="HOU17" s="14"/>
      <c r="HOV17" s="14"/>
      <c r="HOW17" s="14"/>
      <c r="HOX17" s="14"/>
      <c r="HOY17" s="14"/>
      <c r="HOZ17" s="14"/>
      <c r="HPA17" s="14"/>
      <c r="HPB17" s="14"/>
      <c r="HPC17" s="14"/>
      <c r="HPD17" s="14"/>
      <c r="HPE17" s="14"/>
      <c r="HPF17" s="14"/>
      <c r="HPG17" s="14"/>
      <c r="HPH17" s="14"/>
      <c r="HPI17" s="14"/>
      <c r="HPJ17" s="14"/>
      <c r="HPK17" s="14"/>
      <c r="HPL17" s="14"/>
      <c r="HPM17" s="14"/>
      <c r="HPN17" s="14"/>
      <c r="HPO17" s="14"/>
      <c r="HPP17" s="14"/>
      <c r="HPQ17" s="14"/>
      <c r="HPR17" s="14"/>
      <c r="HPS17" s="14"/>
      <c r="HPT17" s="14"/>
      <c r="HPU17" s="14"/>
      <c r="HPV17" s="14"/>
      <c r="HPW17" s="14"/>
      <c r="HPX17" s="14"/>
      <c r="HPY17" s="14"/>
      <c r="HPZ17" s="14"/>
      <c r="HQA17" s="14"/>
      <c r="HQB17" s="14"/>
      <c r="HQC17" s="14"/>
      <c r="HQD17" s="14"/>
      <c r="HQE17" s="14"/>
      <c r="HQF17" s="14"/>
      <c r="HQG17" s="14"/>
      <c r="HQH17" s="14"/>
      <c r="HQI17" s="14"/>
      <c r="HQJ17" s="14"/>
      <c r="HQK17" s="14"/>
      <c r="HQL17" s="14"/>
      <c r="HQM17" s="14"/>
      <c r="HQN17" s="14"/>
      <c r="HQO17" s="14"/>
      <c r="HQP17" s="14"/>
      <c r="HQQ17" s="14"/>
      <c r="HQR17" s="14"/>
      <c r="HQS17" s="14"/>
      <c r="HQT17" s="14"/>
      <c r="HQU17" s="14"/>
      <c r="HQV17" s="14"/>
      <c r="HQW17" s="14"/>
      <c r="HQX17" s="14"/>
      <c r="HQY17" s="14"/>
      <c r="HQZ17" s="14"/>
      <c r="HRA17" s="14"/>
      <c r="HRB17" s="14"/>
      <c r="HRC17" s="14"/>
      <c r="HRD17" s="14"/>
      <c r="HRE17" s="14"/>
      <c r="HRF17" s="14"/>
      <c r="HRG17" s="14"/>
      <c r="HRH17" s="14"/>
      <c r="HRI17" s="14"/>
      <c r="HRJ17" s="14"/>
      <c r="HRK17" s="14"/>
      <c r="HRL17" s="14"/>
      <c r="HRM17" s="14"/>
      <c r="HRN17" s="14"/>
      <c r="HRO17" s="14"/>
      <c r="HRP17" s="14"/>
      <c r="HRQ17" s="14"/>
      <c r="HRR17" s="14"/>
      <c r="HRS17" s="14"/>
      <c r="HRT17" s="14"/>
      <c r="HRU17" s="14"/>
      <c r="HRV17" s="14"/>
      <c r="HRW17" s="14"/>
      <c r="HRX17" s="14"/>
      <c r="HRY17" s="14"/>
      <c r="HRZ17" s="14"/>
      <c r="HSA17" s="14"/>
      <c r="HSB17" s="14"/>
      <c r="HSC17" s="14"/>
      <c r="HSD17" s="14"/>
      <c r="HSE17" s="14"/>
      <c r="HSF17" s="14"/>
      <c r="HSG17" s="14"/>
      <c r="HSH17" s="14"/>
      <c r="HSI17" s="14"/>
      <c r="HSJ17" s="14"/>
      <c r="HSK17" s="14"/>
      <c r="HSL17" s="14"/>
      <c r="HSM17" s="14"/>
      <c r="HSN17" s="14"/>
      <c r="HSO17" s="14"/>
      <c r="HSP17" s="14"/>
      <c r="HSQ17" s="14"/>
      <c r="HSR17" s="14"/>
      <c r="HSS17" s="14"/>
      <c r="HST17" s="14"/>
      <c r="HSU17" s="14"/>
      <c r="HSV17" s="14"/>
      <c r="HSW17" s="14"/>
      <c r="HSX17" s="14"/>
      <c r="HSY17" s="14"/>
      <c r="HSZ17" s="14"/>
      <c r="HTA17" s="14"/>
      <c r="HTB17" s="14"/>
      <c r="HTC17" s="14"/>
      <c r="HTD17" s="14"/>
      <c r="HTE17" s="14"/>
      <c r="HTF17" s="14"/>
      <c r="HTG17" s="14"/>
      <c r="HTH17" s="14"/>
      <c r="HTI17" s="14"/>
      <c r="HTJ17" s="14"/>
      <c r="HTK17" s="14"/>
      <c r="HTL17" s="14"/>
      <c r="HTM17" s="14"/>
      <c r="HTN17" s="14"/>
      <c r="HTO17" s="14"/>
      <c r="HTP17" s="14"/>
      <c r="HTQ17" s="14"/>
      <c r="HTR17" s="14"/>
      <c r="HTS17" s="14"/>
      <c r="HTT17" s="14"/>
      <c r="HTU17" s="14"/>
      <c r="HTV17" s="14"/>
      <c r="HTW17" s="14"/>
      <c r="HTX17" s="14"/>
      <c r="HTY17" s="14"/>
      <c r="HTZ17" s="14"/>
      <c r="HUA17" s="14"/>
      <c r="HUB17" s="14"/>
      <c r="HUC17" s="14"/>
      <c r="HUD17" s="14"/>
      <c r="HUE17" s="14"/>
      <c r="HUF17" s="14"/>
      <c r="HUG17" s="14"/>
      <c r="HUH17" s="14"/>
      <c r="HUI17" s="14"/>
      <c r="HUJ17" s="14"/>
      <c r="HUK17" s="14"/>
      <c r="HUL17" s="14"/>
      <c r="HUM17" s="14"/>
      <c r="HUN17" s="14"/>
      <c r="HUO17" s="14"/>
      <c r="HUP17" s="14"/>
      <c r="HUQ17" s="14"/>
      <c r="HUR17" s="14"/>
      <c r="HUS17" s="14"/>
      <c r="HUT17" s="14"/>
      <c r="HUU17" s="14"/>
      <c r="HUV17" s="14"/>
      <c r="HUW17" s="14"/>
      <c r="HUX17" s="14"/>
      <c r="HUY17" s="14"/>
      <c r="HUZ17" s="14"/>
      <c r="HVA17" s="14"/>
      <c r="HVB17" s="14"/>
      <c r="HVC17" s="14"/>
      <c r="HVD17" s="14"/>
      <c r="HVE17" s="14"/>
      <c r="HVF17" s="14"/>
      <c r="HVG17" s="14"/>
      <c r="HVH17" s="14"/>
      <c r="HVI17" s="14"/>
      <c r="HVJ17" s="14"/>
      <c r="HVK17" s="14"/>
      <c r="HVL17" s="14"/>
      <c r="HVM17" s="14"/>
      <c r="HVN17" s="14"/>
      <c r="HVO17" s="14"/>
      <c r="HVP17" s="14"/>
      <c r="HVQ17" s="14"/>
      <c r="HVR17" s="14"/>
      <c r="HVS17" s="14"/>
      <c r="HVT17" s="14"/>
      <c r="HVU17" s="14"/>
      <c r="HVV17" s="14"/>
      <c r="HVW17" s="14"/>
      <c r="HVX17" s="14"/>
      <c r="HVY17" s="14"/>
      <c r="HVZ17" s="14"/>
      <c r="HWA17" s="14"/>
      <c r="HWB17" s="14"/>
      <c r="HWC17" s="14"/>
      <c r="HWD17" s="14"/>
      <c r="HWE17" s="14"/>
      <c r="HWF17" s="14"/>
      <c r="HWG17" s="14"/>
      <c r="HWH17" s="14"/>
      <c r="HWI17" s="14"/>
      <c r="HWJ17" s="14"/>
      <c r="HWK17" s="14"/>
      <c r="HWL17" s="14"/>
      <c r="HWM17" s="14"/>
      <c r="HWN17" s="14"/>
      <c r="HWO17" s="14"/>
      <c r="HWP17" s="14"/>
      <c r="HWQ17" s="14"/>
      <c r="HWR17" s="14"/>
      <c r="HWS17" s="14"/>
      <c r="HWT17" s="14"/>
      <c r="HWU17" s="14"/>
      <c r="HWV17" s="14"/>
      <c r="HWW17" s="14"/>
      <c r="HWX17" s="14"/>
      <c r="HWY17" s="14"/>
      <c r="HWZ17" s="14"/>
      <c r="HXA17" s="14"/>
      <c r="HXB17" s="14"/>
      <c r="HXC17" s="14"/>
      <c r="HXD17" s="14"/>
      <c r="HXE17" s="14"/>
      <c r="HXF17" s="14"/>
      <c r="HXG17" s="14"/>
      <c r="HXH17" s="14"/>
      <c r="HXI17" s="14"/>
      <c r="HXJ17" s="14"/>
      <c r="HXK17" s="14"/>
      <c r="HXL17" s="14"/>
      <c r="HXM17" s="14"/>
      <c r="HXN17" s="14"/>
      <c r="HXO17" s="14"/>
      <c r="HXP17" s="14"/>
      <c r="HXQ17" s="14"/>
      <c r="HXR17" s="14"/>
      <c r="HXS17" s="14"/>
      <c r="HXT17" s="14"/>
      <c r="HXU17" s="14"/>
      <c r="HXV17" s="14"/>
      <c r="HXW17" s="14"/>
      <c r="HXX17" s="14"/>
      <c r="HXY17" s="14"/>
      <c r="HXZ17" s="14"/>
      <c r="HYA17" s="14"/>
      <c r="HYB17" s="14"/>
      <c r="HYC17" s="14"/>
      <c r="HYD17" s="14"/>
      <c r="HYE17" s="14"/>
      <c r="HYF17" s="14"/>
      <c r="HYG17" s="14"/>
      <c r="HYH17" s="14"/>
      <c r="HYI17" s="14"/>
      <c r="HYJ17" s="14"/>
      <c r="HYK17" s="14"/>
      <c r="HYL17" s="14"/>
      <c r="HYM17" s="14"/>
      <c r="HYN17" s="14"/>
      <c r="HYO17" s="14"/>
      <c r="HYP17" s="14"/>
      <c r="HYQ17" s="14"/>
      <c r="HYR17" s="14"/>
      <c r="HYS17" s="14"/>
      <c r="HYT17" s="14"/>
      <c r="HYU17" s="14"/>
      <c r="HYV17" s="14"/>
      <c r="HYW17" s="14"/>
      <c r="HYX17" s="14"/>
      <c r="HYY17" s="14"/>
      <c r="HYZ17" s="14"/>
      <c r="HZA17" s="14"/>
      <c r="HZB17" s="14"/>
      <c r="HZC17" s="14"/>
      <c r="HZD17" s="14"/>
      <c r="HZE17" s="14"/>
      <c r="HZF17" s="14"/>
      <c r="HZG17" s="14"/>
      <c r="HZH17" s="14"/>
      <c r="HZI17" s="14"/>
      <c r="HZJ17" s="14"/>
      <c r="HZK17" s="14"/>
      <c r="HZL17" s="14"/>
      <c r="HZM17" s="14"/>
      <c r="HZN17" s="14"/>
      <c r="HZO17" s="14"/>
      <c r="HZP17" s="14"/>
      <c r="HZQ17" s="14"/>
      <c r="HZR17" s="14"/>
      <c r="HZS17" s="14"/>
      <c r="HZT17" s="14"/>
      <c r="HZU17" s="14"/>
      <c r="HZV17" s="14"/>
      <c r="HZW17" s="14"/>
      <c r="HZX17" s="14"/>
      <c r="HZY17" s="14"/>
      <c r="HZZ17" s="14"/>
      <c r="IAA17" s="14"/>
      <c r="IAB17" s="14"/>
      <c r="IAC17" s="14"/>
      <c r="IAD17" s="14"/>
      <c r="IAE17" s="14"/>
      <c r="IAF17" s="14"/>
      <c r="IAG17" s="14"/>
      <c r="IAH17" s="14"/>
      <c r="IAI17" s="14"/>
      <c r="IAJ17" s="14"/>
      <c r="IAK17" s="14"/>
      <c r="IAL17" s="14"/>
      <c r="IAM17" s="14"/>
      <c r="IAN17" s="14"/>
      <c r="IAO17" s="14"/>
      <c r="IAP17" s="14"/>
      <c r="IAQ17" s="14"/>
      <c r="IAR17" s="14"/>
      <c r="IAS17" s="14"/>
      <c r="IAT17" s="14"/>
      <c r="IAU17" s="14"/>
      <c r="IAV17" s="14"/>
      <c r="IAW17" s="14"/>
      <c r="IAX17" s="14"/>
      <c r="IAY17" s="14"/>
      <c r="IAZ17" s="14"/>
      <c r="IBA17" s="14"/>
      <c r="IBB17" s="14"/>
      <c r="IBC17" s="14"/>
      <c r="IBD17" s="14"/>
      <c r="IBE17" s="14"/>
      <c r="IBF17" s="14"/>
      <c r="IBG17" s="14"/>
      <c r="IBH17" s="14"/>
      <c r="IBI17" s="14"/>
      <c r="IBJ17" s="14"/>
      <c r="IBK17" s="14"/>
      <c r="IBL17" s="14"/>
      <c r="IBM17" s="14"/>
      <c r="IBN17" s="14"/>
      <c r="IBO17" s="14"/>
      <c r="IBP17" s="14"/>
      <c r="IBQ17" s="14"/>
      <c r="IBR17" s="14"/>
      <c r="IBS17" s="14"/>
      <c r="IBT17" s="14"/>
      <c r="IBU17" s="14"/>
      <c r="IBV17" s="14"/>
      <c r="IBW17" s="14"/>
      <c r="IBX17" s="14"/>
      <c r="IBY17" s="14"/>
      <c r="IBZ17" s="14"/>
      <c r="ICA17" s="14"/>
      <c r="ICB17" s="14"/>
      <c r="ICC17" s="14"/>
      <c r="ICD17" s="14"/>
      <c r="ICE17" s="14"/>
      <c r="ICF17" s="14"/>
      <c r="ICG17" s="14"/>
      <c r="ICH17" s="14"/>
      <c r="ICI17" s="14"/>
      <c r="ICJ17" s="14"/>
      <c r="ICK17" s="14"/>
      <c r="ICL17" s="14"/>
      <c r="ICM17" s="14"/>
      <c r="ICN17" s="14"/>
      <c r="ICO17" s="14"/>
      <c r="ICP17" s="14"/>
      <c r="ICQ17" s="14"/>
      <c r="ICR17" s="14"/>
      <c r="ICS17" s="14"/>
      <c r="ICT17" s="14"/>
      <c r="ICU17" s="14"/>
      <c r="ICV17" s="14"/>
      <c r="ICW17" s="14"/>
      <c r="ICX17" s="14"/>
      <c r="ICY17" s="14"/>
      <c r="ICZ17" s="14"/>
      <c r="IDA17" s="14"/>
      <c r="IDB17" s="14"/>
      <c r="IDC17" s="14"/>
      <c r="IDD17" s="14"/>
      <c r="IDE17" s="14"/>
      <c r="IDF17" s="14"/>
      <c r="IDG17" s="14"/>
      <c r="IDH17" s="14"/>
      <c r="IDI17" s="14"/>
      <c r="IDJ17" s="14"/>
      <c r="IDK17" s="14"/>
      <c r="IDL17" s="14"/>
      <c r="IDM17" s="14"/>
      <c r="IDN17" s="14"/>
      <c r="IDO17" s="14"/>
      <c r="IDP17" s="14"/>
      <c r="IDQ17" s="14"/>
      <c r="IDR17" s="14"/>
      <c r="IDS17" s="14"/>
      <c r="IDT17" s="14"/>
      <c r="IDU17" s="14"/>
      <c r="IDV17" s="14"/>
      <c r="IDW17" s="14"/>
      <c r="IDX17" s="14"/>
      <c r="IDY17" s="14"/>
      <c r="IDZ17" s="14"/>
      <c r="IEA17" s="14"/>
      <c r="IEB17" s="14"/>
      <c r="IEC17" s="14"/>
      <c r="IED17" s="14"/>
      <c r="IEE17" s="14"/>
      <c r="IEF17" s="14"/>
      <c r="IEG17" s="14"/>
      <c r="IEH17" s="14"/>
      <c r="IEI17" s="14"/>
      <c r="IEJ17" s="14"/>
      <c r="IEK17" s="14"/>
      <c r="IEL17" s="14"/>
      <c r="IEM17" s="14"/>
      <c r="IEN17" s="14"/>
      <c r="IEO17" s="14"/>
      <c r="IEP17" s="14"/>
      <c r="IEQ17" s="14"/>
      <c r="IER17" s="14"/>
      <c r="IES17" s="14"/>
      <c r="IET17" s="14"/>
      <c r="IEU17" s="14"/>
      <c r="IEV17" s="14"/>
      <c r="IEW17" s="14"/>
      <c r="IEX17" s="14"/>
      <c r="IEY17" s="14"/>
      <c r="IEZ17" s="14"/>
      <c r="IFA17" s="14"/>
      <c r="IFB17" s="14"/>
      <c r="IFC17" s="14"/>
      <c r="IFD17" s="14"/>
      <c r="IFE17" s="14"/>
      <c r="IFF17" s="14"/>
      <c r="IFG17" s="14"/>
      <c r="IFH17" s="14"/>
      <c r="IFI17" s="14"/>
      <c r="IFJ17" s="14"/>
      <c r="IFK17" s="14"/>
      <c r="IFL17" s="14"/>
      <c r="IFM17" s="14"/>
      <c r="IFN17" s="14"/>
      <c r="IFO17" s="14"/>
      <c r="IFP17" s="14"/>
      <c r="IFQ17" s="14"/>
      <c r="IFR17" s="14"/>
      <c r="IFS17" s="14"/>
      <c r="IFT17" s="14"/>
      <c r="IFU17" s="14"/>
      <c r="IFV17" s="14"/>
      <c r="IFW17" s="14"/>
      <c r="IFX17" s="14"/>
      <c r="IFY17" s="14"/>
      <c r="IFZ17" s="14"/>
      <c r="IGA17" s="14"/>
      <c r="IGB17" s="14"/>
      <c r="IGC17" s="14"/>
      <c r="IGD17" s="14"/>
      <c r="IGE17" s="14"/>
      <c r="IGF17" s="14"/>
      <c r="IGG17" s="14"/>
      <c r="IGH17" s="14"/>
      <c r="IGI17" s="14"/>
      <c r="IGJ17" s="14"/>
      <c r="IGK17" s="14"/>
      <c r="IGL17" s="14"/>
      <c r="IGM17" s="14"/>
      <c r="IGN17" s="14"/>
      <c r="IGO17" s="14"/>
      <c r="IGP17" s="14"/>
      <c r="IGQ17" s="14"/>
      <c r="IGR17" s="14"/>
      <c r="IGS17" s="14"/>
      <c r="IGT17" s="14"/>
      <c r="IGU17" s="14"/>
      <c r="IGV17" s="14"/>
      <c r="IGW17" s="14"/>
      <c r="IGX17" s="14"/>
      <c r="IGY17" s="14"/>
      <c r="IGZ17" s="14"/>
      <c r="IHA17" s="14"/>
      <c r="IHB17" s="14"/>
      <c r="IHC17" s="14"/>
      <c r="IHD17" s="14"/>
      <c r="IHE17" s="14"/>
      <c r="IHF17" s="14"/>
      <c r="IHG17" s="14"/>
      <c r="IHH17" s="14"/>
      <c r="IHI17" s="14"/>
      <c r="IHJ17" s="14"/>
      <c r="IHK17" s="14"/>
      <c r="IHL17" s="14"/>
      <c r="IHM17" s="14"/>
      <c r="IHN17" s="14"/>
      <c r="IHO17" s="14"/>
      <c r="IHP17" s="14"/>
      <c r="IHQ17" s="14"/>
      <c r="IHR17" s="14"/>
      <c r="IHS17" s="14"/>
      <c r="IHT17" s="14"/>
      <c r="IHU17" s="14"/>
      <c r="IHV17" s="14"/>
      <c r="IHW17" s="14"/>
      <c r="IHX17" s="14"/>
      <c r="IHY17" s="14"/>
      <c r="IHZ17" s="14"/>
      <c r="IIA17" s="14"/>
      <c r="IIB17" s="14"/>
      <c r="IIC17" s="14"/>
      <c r="IID17" s="14"/>
      <c r="IIE17" s="14"/>
      <c r="IIF17" s="14"/>
      <c r="IIG17" s="14"/>
      <c r="IIH17" s="14"/>
      <c r="III17" s="14"/>
      <c r="IIJ17" s="14"/>
      <c r="IIK17" s="14"/>
      <c r="IIL17" s="14"/>
      <c r="IIM17" s="14"/>
      <c r="IIN17" s="14"/>
      <c r="IIO17" s="14"/>
      <c r="IIP17" s="14"/>
      <c r="IIQ17" s="14"/>
      <c r="IIR17" s="14"/>
      <c r="IIS17" s="14"/>
      <c r="IIT17" s="14"/>
      <c r="IIU17" s="14"/>
      <c r="IIV17" s="14"/>
      <c r="IIW17" s="14"/>
      <c r="IIX17" s="14"/>
      <c r="IIY17" s="14"/>
      <c r="IIZ17" s="14"/>
      <c r="IJA17" s="14"/>
      <c r="IJB17" s="14"/>
      <c r="IJC17" s="14"/>
      <c r="IJD17" s="14"/>
      <c r="IJE17" s="14"/>
      <c r="IJF17" s="14"/>
      <c r="IJG17" s="14"/>
      <c r="IJH17" s="14"/>
      <c r="IJI17" s="14"/>
      <c r="IJJ17" s="14"/>
      <c r="IJK17" s="14"/>
      <c r="IJL17" s="14"/>
      <c r="IJM17" s="14"/>
      <c r="IJN17" s="14"/>
      <c r="IJO17" s="14"/>
      <c r="IJP17" s="14"/>
      <c r="IJQ17" s="14"/>
      <c r="IJR17" s="14"/>
      <c r="IJS17" s="14"/>
      <c r="IJT17" s="14"/>
      <c r="IJU17" s="14"/>
      <c r="IJV17" s="14"/>
      <c r="IJW17" s="14"/>
      <c r="IJX17" s="14"/>
      <c r="IJY17" s="14"/>
      <c r="IJZ17" s="14"/>
      <c r="IKA17" s="14"/>
      <c r="IKB17" s="14"/>
      <c r="IKC17" s="14"/>
      <c r="IKD17" s="14"/>
      <c r="IKE17" s="14"/>
      <c r="IKF17" s="14"/>
      <c r="IKG17" s="14"/>
      <c r="IKH17" s="14"/>
      <c r="IKI17" s="14"/>
      <c r="IKJ17" s="14"/>
      <c r="IKK17" s="14"/>
      <c r="IKL17" s="14"/>
      <c r="IKM17" s="14"/>
      <c r="IKN17" s="14"/>
      <c r="IKO17" s="14"/>
      <c r="IKP17" s="14"/>
      <c r="IKQ17" s="14"/>
      <c r="IKR17" s="14"/>
      <c r="IKS17" s="14"/>
      <c r="IKT17" s="14"/>
      <c r="IKU17" s="14"/>
      <c r="IKV17" s="14"/>
      <c r="IKW17" s="14"/>
      <c r="IKX17" s="14"/>
      <c r="IKY17" s="14"/>
      <c r="IKZ17" s="14"/>
      <c r="ILA17" s="14"/>
      <c r="ILB17" s="14"/>
      <c r="ILC17" s="14"/>
      <c r="ILD17" s="14"/>
      <c r="ILE17" s="14"/>
      <c r="ILF17" s="14"/>
      <c r="ILG17" s="14"/>
      <c r="ILH17" s="14"/>
      <c r="ILI17" s="14"/>
      <c r="ILJ17" s="14"/>
      <c r="ILK17" s="14"/>
      <c r="ILL17" s="14"/>
      <c r="ILM17" s="14"/>
      <c r="ILN17" s="14"/>
      <c r="ILO17" s="14"/>
      <c r="ILP17" s="14"/>
      <c r="ILQ17" s="14"/>
      <c r="ILR17" s="14"/>
      <c r="ILS17" s="14"/>
      <c r="ILT17" s="14"/>
      <c r="ILU17" s="14"/>
      <c r="ILV17" s="14"/>
      <c r="ILW17" s="14"/>
      <c r="ILX17" s="14"/>
      <c r="ILY17" s="14"/>
      <c r="ILZ17" s="14"/>
      <c r="IMA17" s="14"/>
      <c r="IMB17" s="14"/>
      <c r="IMC17" s="14"/>
      <c r="IMD17" s="14"/>
      <c r="IME17" s="14"/>
      <c r="IMF17" s="14"/>
      <c r="IMG17" s="14"/>
      <c r="IMH17" s="14"/>
      <c r="IMI17" s="14"/>
      <c r="IMJ17" s="14"/>
      <c r="IMK17" s="14"/>
      <c r="IML17" s="14"/>
      <c r="IMM17" s="14"/>
      <c r="IMN17" s="14"/>
      <c r="IMO17" s="14"/>
      <c r="IMP17" s="14"/>
      <c r="IMQ17" s="14"/>
      <c r="IMR17" s="14"/>
      <c r="IMS17" s="14"/>
      <c r="IMT17" s="14"/>
      <c r="IMU17" s="14"/>
      <c r="IMV17" s="14"/>
      <c r="IMW17" s="14"/>
      <c r="IMX17" s="14"/>
      <c r="IMY17" s="14"/>
      <c r="IMZ17" s="14"/>
      <c r="INA17" s="14"/>
      <c r="INB17" s="14"/>
      <c r="INC17" s="14"/>
      <c r="IND17" s="14"/>
      <c r="INE17" s="14"/>
      <c r="INF17" s="14"/>
      <c r="ING17" s="14"/>
      <c r="INH17" s="14"/>
      <c r="INI17" s="14"/>
      <c r="INJ17" s="14"/>
      <c r="INK17" s="14"/>
      <c r="INL17" s="14"/>
      <c r="INM17" s="14"/>
      <c r="INN17" s="14"/>
      <c r="INO17" s="14"/>
      <c r="INP17" s="14"/>
      <c r="INQ17" s="14"/>
      <c r="INR17" s="14"/>
      <c r="INS17" s="14"/>
      <c r="INT17" s="14"/>
      <c r="INU17" s="14"/>
      <c r="INV17" s="14"/>
      <c r="INW17" s="14"/>
      <c r="INX17" s="14"/>
      <c r="INY17" s="14"/>
      <c r="INZ17" s="14"/>
      <c r="IOA17" s="14"/>
      <c r="IOB17" s="14"/>
      <c r="IOC17" s="14"/>
      <c r="IOD17" s="14"/>
      <c r="IOE17" s="14"/>
      <c r="IOF17" s="14"/>
      <c r="IOG17" s="14"/>
      <c r="IOH17" s="14"/>
      <c r="IOI17" s="14"/>
      <c r="IOJ17" s="14"/>
      <c r="IOK17" s="14"/>
      <c r="IOL17" s="14"/>
      <c r="IOM17" s="14"/>
      <c r="ION17" s="14"/>
      <c r="IOO17" s="14"/>
      <c r="IOP17" s="14"/>
      <c r="IOQ17" s="14"/>
      <c r="IOR17" s="14"/>
      <c r="IOS17" s="14"/>
      <c r="IOT17" s="14"/>
      <c r="IOU17" s="14"/>
      <c r="IOV17" s="14"/>
      <c r="IOW17" s="14"/>
      <c r="IOX17" s="14"/>
      <c r="IOY17" s="14"/>
      <c r="IOZ17" s="14"/>
      <c r="IPA17" s="14"/>
      <c r="IPB17" s="14"/>
      <c r="IPC17" s="14"/>
      <c r="IPD17" s="14"/>
      <c r="IPE17" s="14"/>
      <c r="IPF17" s="14"/>
      <c r="IPG17" s="14"/>
      <c r="IPH17" s="14"/>
      <c r="IPI17" s="14"/>
      <c r="IPJ17" s="14"/>
      <c r="IPK17" s="14"/>
      <c r="IPL17" s="14"/>
      <c r="IPM17" s="14"/>
      <c r="IPN17" s="14"/>
      <c r="IPO17" s="14"/>
      <c r="IPP17" s="14"/>
      <c r="IPQ17" s="14"/>
      <c r="IPR17" s="14"/>
      <c r="IPS17" s="14"/>
      <c r="IPT17" s="14"/>
      <c r="IPU17" s="14"/>
      <c r="IPV17" s="14"/>
      <c r="IPW17" s="14"/>
      <c r="IPX17" s="14"/>
      <c r="IPY17" s="14"/>
      <c r="IPZ17" s="14"/>
      <c r="IQA17" s="14"/>
      <c r="IQB17" s="14"/>
      <c r="IQC17" s="14"/>
      <c r="IQD17" s="14"/>
      <c r="IQE17" s="14"/>
      <c r="IQF17" s="14"/>
      <c r="IQG17" s="14"/>
      <c r="IQH17" s="14"/>
      <c r="IQI17" s="14"/>
      <c r="IQJ17" s="14"/>
      <c r="IQK17" s="14"/>
      <c r="IQL17" s="14"/>
      <c r="IQM17" s="14"/>
      <c r="IQN17" s="14"/>
      <c r="IQO17" s="14"/>
      <c r="IQP17" s="14"/>
      <c r="IQQ17" s="14"/>
      <c r="IQR17" s="14"/>
      <c r="IQS17" s="14"/>
      <c r="IQT17" s="14"/>
      <c r="IQU17" s="14"/>
      <c r="IQV17" s="14"/>
      <c r="IQW17" s="14"/>
      <c r="IQX17" s="14"/>
      <c r="IQY17" s="14"/>
      <c r="IQZ17" s="14"/>
      <c r="IRA17" s="14"/>
      <c r="IRB17" s="14"/>
      <c r="IRC17" s="14"/>
      <c r="IRD17" s="14"/>
      <c r="IRE17" s="14"/>
      <c r="IRF17" s="14"/>
      <c r="IRG17" s="14"/>
      <c r="IRH17" s="14"/>
      <c r="IRI17" s="14"/>
      <c r="IRJ17" s="14"/>
      <c r="IRK17" s="14"/>
      <c r="IRL17" s="14"/>
      <c r="IRM17" s="14"/>
      <c r="IRN17" s="14"/>
      <c r="IRO17" s="14"/>
      <c r="IRP17" s="14"/>
      <c r="IRQ17" s="14"/>
      <c r="IRR17" s="14"/>
      <c r="IRS17" s="14"/>
      <c r="IRT17" s="14"/>
      <c r="IRU17" s="14"/>
      <c r="IRV17" s="14"/>
      <c r="IRW17" s="14"/>
      <c r="IRX17" s="14"/>
      <c r="IRY17" s="14"/>
      <c r="IRZ17" s="14"/>
      <c r="ISA17" s="14"/>
      <c r="ISB17" s="14"/>
      <c r="ISC17" s="14"/>
      <c r="ISD17" s="14"/>
      <c r="ISE17" s="14"/>
      <c r="ISF17" s="14"/>
      <c r="ISG17" s="14"/>
      <c r="ISH17" s="14"/>
      <c r="ISI17" s="14"/>
      <c r="ISJ17" s="14"/>
      <c r="ISK17" s="14"/>
      <c r="ISL17" s="14"/>
      <c r="ISM17" s="14"/>
      <c r="ISN17" s="14"/>
      <c r="ISO17" s="14"/>
      <c r="ISP17" s="14"/>
      <c r="ISQ17" s="14"/>
      <c r="ISR17" s="14"/>
      <c r="ISS17" s="14"/>
      <c r="IST17" s="14"/>
      <c r="ISU17" s="14"/>
      <c r="ISV17" s="14"/>
      <c r="ISW17" s="14"/>
      <c r="ISX17" s="14"/>
      <c r="ISY17" s="14"/>
      <c r="ISZ17" s="14"/>
      <c r="ITA17" s="14"/>
      <c r="ITB17" s="14"/>
      <c r="ITC17" s="14"/>
      <c r="ITD17" s="14"/>
      <c r="ITE17" s="14"/>
      <c r="ITF17" s="14"/>
      <c r="ITG17" s="14"/>
      <c r="ITH17" s="14"/>
      <c r="ITI17" s="14"/>
      <c r="ITJ17" s="14"/>
      <c r="ITK17" s="14"/>
      <c r="ITL17" s="14"/>
      <c r="ITM17" s="14"/>
      <c r="ITN17" s="14"/>
      <c r="ITO17" s="14"/>
      <c r="ITP17" s="14"/>
      <c r="ITQ17" s="14"/>
      <c r="ITR17" s="14"/>
      <c r="ITS17" s="14"/>
      <c r="ITT17" s="14"/>
      <c r="ITU17" s="14"/>
      <c r="ITV17" s="14"/>
      <c r="ITW17" s="14"/>
      <c r="ITX17" s="14"/>
      <c r="ITY17" s="14"/>
      <c r="ITZ17" s="14"/>
      <c r="IUA17" s="14"/>
      <c r="IUB17" s="14"/>
      <c r="IUC17" s="14"/>
      <c r="IUD17" s="14"/>
      <c r="IUE17" s="14"/>
      <c r="IUF17" s="14"/>
      <c r="IUG17" s="14"/>
      <c r="IUH17" s="14"/>
      <c r="IUI17" s="14"/>
      <c r="IUJ17" s="14"/>
      <c r="IUK17" s="14"/>
      <c r="IUL17" s="14"/>
      <c r="IUM17" s="14"/>
      <c r="IUN17" s="14"/>
      <c r="IUO17" s="14"/>
      <c r="IUP17" s="14"/>
      <c r="IUQ17" s="14"/>
      <c r="IUR17" s="14"/>
      <c r="IUS17" s="14"/>
      <c r="IUT17" s="14"/>
      <c r="IUU17" s="14"/>
      <c r="IUV17" s="14"/>
      <c r="IUW17" s="14"/>
      <c r="IUX17" s="14"/>
      <c r="IUY17" s="14"/>
      <c r="IUZ17" s="14"/>
      <c r="IVA17" s="14"/>
      <c r="IVB17" s="14"/>
      <c r="IVC17" s="14"/>
      <c r="IVD17" s="14"/>
      <c r="IVE17" s="14"/>
      <c r="IVF17" s="14"/>
      <c r="IVG17" s="14"/>
      <c r="IVH17" s="14"/>
      <c r="IVI17" s="14"/>
      <c r="IVJ17" s="14"/>
      <c r="IVK17" s="14"/>
      <c r="IVL17" s="14"/>
      <c r="IVM17" s="14"/>
      <c r="IVN17" s="14"/>
      <c r="IVO17" s="14"/>
      <c r="IVP17" s="14"/>
      <c r="IVQ17" s="14"/>
      <c r="IVR17" s="14"/>
      <c r="IVS17" s="14"/>
      <c r="IVT17" s="14"/>
      <c r="IVU17" s="14"/>
      <c r="IVV17" s="14"/>
      <c r="IVW17" s="14"/>
      <c r="IVX17" s="14"/>
      <c r="IVY17" s="14"/>
      <c r="IVZ17" s="14"/>
      <c r="IWA17" s="14"/>
      <c r="IWB17" s="14"/>
      <c r="IWC17" s="14"/>
      <c r="IWD17" s="14"/>
      <c r="IWE17" s="14"/>
      <c r="IWF17" s="14"/>
      <c r="IWG17" s="14"/>
      <c r="IWH17" s="14"/>
      <c r="IWI17" s="14"/>
      <c r="IWJ17" s="14"/>
      <c r="IWK17" s="14"/>
      <c r="IWL17" s="14"/>
      <c r="IWM17" s="14"/>
      <c r="IWN17" s="14"/>
      <c r="IWO17" s="14"/>
      <c r="IWP17" s="14"/>
      <c r="IWQ17" s="14"/>
      <c r="IWR17" s="14"/>
      <c r="IWS17" s="14"/>
      <c r="IWT17" s="14"/>
      <c r="IWU17" s="14"/>
      <c r="IWV17" s="14"/>
      <c r="IWW17" s="14"/>
      <c r="IWX17" s="14"/>
      <c r="IWY17" s="14"/>
      <c r="IWZ17" s="14"/>
      <c r="IXA17" s="14"/>
      <c r="IXB17" s="14"/>
      <c r="IXC17" s="14"/>
      <c r="IXD17" s="14"/>
      <c r="IXE17" s="14"/>
      <c r="IXF17" s="14"/>
      <c r="IXG17" s="14"/>
      <c r="IXH17" s="14"/>
      <c r="IXI17" s="14"/>
      <c r="IXJ17" s="14"/>
      <c r="IXK17" s="14"/>
      <c r="IXL17" s="14"/>
      <c r="IXM17" s="14"/>
      <c r="IXN17" s="14"/>
      <c r="IXO17" s="14"/>
      <c r="IXP17" s="14"/>
      <c r="IXQ17" s="14"/>
      <c r="IXR17" s="14"/>
      <c r="IXS17" s="14"/>
      <c r="IXT17" s="14"/>
      <c r="IXU17" s="14"/>
      <c r="IXV17" s="14"/>
      <c r="IXW17" s="14"/>
      <c r="IXX17" s="14"/>
      <c r="IXY17" s="14"/>
      <c r="IXZ17" s="14"/>
      <c r="IYA17" s="14"/>
      <c r="IYB17" s="14"/>
      <c r="IYC17" s="14"/>
      <c r="IYD17" s="14"/>
      <c r="IYE17" s="14"/>
      <c r="IYF17" s="14"/>
      <c r="IYG17" s="14"/>
      <c r="IYH17" s="14"/>
      <c r="IYI17" s="14"/>
      <c r="IYJ17" s="14"/>
      <c r="IYK17" s="14"/>
      <c r="IYL17" s="14"/>
      <c r="IYM17" s="14"/>
      <c r="IYN17" s="14"/>
      <c r="IYO17" s="14"/>
      <c r="IYP17" s="14"/>
      <c r="IYQ17" s="14"/>
      <c r="IYR17" s="14"/>
      <c r="IYS17" s="14"/>
      <c r="IYT17" s="14"/>
      <c r="IYU17" s="14"/>
      <c r="IYV17" s="14"/>
      <c r="IYW17" s="14"/>
      <c r="IYX17" s="14"/>
      <c r="IYY17" s="14"/>
      <c r="IYZ17" s="14"/>
      <c r="IZA17" s="14"/>
      <c r="IZB17" s="14"/>
      <c r="IZC17" s="14"/>
      <c r="IZD17" s="14"/>
      <c r="IZE17" s="14"/>
      <c r="IZF17" s="14"/>
      <c r="IZG17" s="14"/>
      <c r="IZH17" s="14"/>
      <c r="IZI17" s="14"/>
      <c r="IZJ17" s="14"/>
      <c r="IZK17" s="14"/>
      <c r="IZL17" s="14"/>
      <c r="IZM17" s="14"/>
      <c r="IZN17" s="14"/>
      <c r="IZO17" s="14"/>
      <c r="IZP17" s="14"/>
      <c r="IZQ17" s="14"/>
      <c r="IZR17" s="14"/>
      <c r="IZS17" s="14"/>
      <c r="IZT17" s="14"/>
      <c r="IZU17" s="14"/>
      <c r="IZV17" s="14"/>
      <c r="IZW17" s="14"/>
      <c r="IZX17" s="14"/>
      <c r="IZY17" s="14"/>
      <c r="IZZ17" s="14"/>
      <c r="JAA17" s="14"/>
      <c r="JAB17" s="14"/>
      <c r="JAC17" s="14"/>
      <c r="JAD17" s="14"/>
      <c r="JAE17" s="14"/>
      <c r="JAF17" s="14"/>
      <c r="JAG17" s="14"/>
      <c r="JAH17" s="14"/>
      <c r="JAI17" s="14"/>
      <c r="JAJ17" s="14"/>
      <c r="JAK17" s="14"/>
      <c r="JAL17" s="14"/>
      <c r="JAM17" s="14"/>
      <c r="JAN17" s="14"/>
      <c r="JAO17" s="14"/>
      <c r="JAP17" s="14"/>
      <c r="JAQ17" s="14"/>
      <c r="JAR17" s="14"/>
      <c r="JAS17" s="14"/>
      <c r="JAT17" s="14"/>
      <c r="JAU17" s="14"/>
      <c r="JAV17" s="14"/>
      <c r="JAW17" s="14"/>
      <c r="JAX17" s="14"/>
      <c r="JAY17" s="14"/>
      <c r="JAZ17" s="14"/>
      <c r="JBA17" s="14"/>
      <c r="JBB17" s="14"/>
      <c r="JBC17" s="14"/>
      <c r="JBD17" s="14"/>
      <c r="JBE17" s="14"/>
      <c r="JBF17" s="14"/>
      <c r="JBG17" s="14"/>
      <c r="JBH17" s="14"/>
      <c r="JBI17" s="14"/>
      <c r="JBJ17" s="14"/>
      <c r="JBK17" s="14"/>
      <c r="JBL17" s="14"/>
      <c r="JBM17" s="14"/>
      <c r="JBN17" s="14"/>
      <c r="JBO17" s="14"/>
      <c r="JBP17" s="14"/>
      <c r="JBQ17" s="14"/>
      <c r="JBR17" s="14"/>
      <c r="JBS17" s="14"/>
      <c r="JBT17" s="14"/>
      <c r="JBU17" s="14"/>
      <c r="JBV17" s="14"/>
      <c r="JBW17" s="14"/>
      <c r="JBX17" s="14"/>
      <c r="JBY17" s="14"/>
      <c r="JBZ17" s="14"/>
      <c r="JCA17" s="14"/>
      <c r="JCB17" s="14"/>
      <c r="JCC17" s="14"/>
      <c r="JCD17" s="14"/>
      <c r="JCE17" s="14"/>
      <c r="JCF17" s="14"/>
      <c r="JCG17" s="14"/>
      <c r="JCH17" s="14"/>
      <c r="JCI17" s="14"/>
      <c r="JCJ17" s="14"/>
      <c r="JCK17" s="14"/>
      <c r="JCL17" s="14"/>
      <c r="JCM17" s="14"/>
      <c r="JCN17" s="14"/>
      <c r="JCO17" s="14"/>
      <c r="JCP17" s="14"/>
      <c r="JCQ17" s="14"/>
      <c r="JCR17" s="14"/>
      <c r="JCS17" s="14"/>
      <c r="JCT17" s="14"/>
      <c r="JCU17" s="14"/>
      <c r="JCV17" s="14"/>
      <c r="JCW17" s="14"/>
      <c r="JCX17" s="14"/>
      <c r="JCY17" s="14"/>
      <c r="JCZ17" s="14"/>
      <c r="JDA17" s="14"/>
      <c r="JDB17" s="14"/>
      <c r="JDC17" s="14"/>
      <c r="JDD17" s="14"/>
      <c r="JDE17" s="14"/>
      <c r="JDF17" s="14"/>
      <c r="JDG17" s="14"/>
      <c r="JDH17" s="14"/>
      <c r="JDI17" s="14"/>
      <c r="JDJ17" s="14"/>
      <c r="JDK17" s="14"/>
      <c r="JDL17" s="14"/>
      <c r="JDM17" s="14"/>
      <c r="JDN17" s="14"/>
      <c r="JDO17" s="14"/>
      <c r="JDP17" s="14"/>
      <c r="JDQ17" s="14"/>
      <c r="JDR17" s="14"/>
      <c r="JDS17" s="14"/>
      <c r="JDT17" s="14"/>
      <c r="JDU17" s="14"/>
      <c r="JDV17" s="14"/>
      <c r="JDW17" s="14"/>
      <c r="JDX17" s="14"/>
      <c r="JDY17" s="14"/>
      <c r="JDZ17" s="14"/>
      <c r="JEA17" s="14"/>
      <c r="JEB17" s="14"/>
      <c r="JEC17" s="14"/>
      <c r="JED17" s="14"/>
      <c r="JEE17" s="14"/>
      <c r="JEF17" s="14"/>
      <c r="JEG17" s="14"/>
      <c r="JEH17" s="14"/>
      <c r="JEI17" s="14"/>
      <c r="JEJ17" s="14"/>
      <c r="JEK17" s="14"/>
      <c r="JEL17" s="14"/>
      <c r="JEM17" s="14"/>
      <c r="JEN17" s="14"/>
      <c r="JEO17" s="14"/>
      <c r="JEP17" s="14"/>
      <c r="JEQ17" s="14"/>
      <c r="JER17" s="14"/>
      <c r="JES17" s="14"/>
      <c r="JET17" s="14"/>
      <c r="JEU17" s="14"/>
      <c r="JEV17" s="14"/>
      <c r="JEW17" s="14"/>
      <c r="JEX17" s="14"/>
      <c r="JEY17" s="14"/>
      <c r="JEZ17" s="14"/>
      <c r="JFA17" s="14"/>
      <c r="JFB17" s="14"/>
      <c r="JFC17" s="14"/>
      <c r="JFD17" s="14"/>
      <c r="JFE17" s="14"/>
      <c r="JFF17" s="14"/>
      <c r="JFG17" s="14"/>
      <c r="JFH17" s="14"/>
      <c r="JFI17" s="14"/>
      <c r="JFJ17" s="14"/>
      <c r="JFK17" s="14"/>
      <c r="JFL17" s="14"/>
      <c r="JFM17" s="14"/>
      <c r="JFN17" s="14"/>
      <c r="JFO17" s="14"/>
      <c r="JFP17" s="14"/>
      <c r="JFQ17" s="14"/>
      <c r="JFR17" s="14"/>
      <c r="JFS17" s="14"/>
      <c r="JFT17" s="14"/>
      <c r="JFU17" s="14"/>
      <c r="JFV17" s="14"/>
      <c r="JFW17" s="14"/>
      <c r="JFX17" s="14"/>
      <c r="JFY17" s="14"/>
      <c r="JFZ17" s="14"/>
      <c r="JGA17" s="14"/>
      <c r="JGB17" s="14"/>
      <c r="JGC17" s="14"/>
      <c r="JGD17" s="14"/>
      <c r="JGE17" s="14"/>
      <c r="JGF17" s="14"/>
      <c r="JGG17" s="14"/>
      <c r="JGH17" s="14"/>
      <c r="JGI17" s="14"/>
      <c r="JGJ17" s="14"/>
      <c r="JGK17" s="14"/>
      <c r="JGL17" s="14"/>
      <c r="JGM17" s="14"/>
      <c r="JGN17" s="14"/>
      <c r="JGO17" s="14"/>
      <c r="JGP17" s="14"/>
      <c r="JGQ17" s="14"/>
      <c r="JGR17" s="14"/>
      <c r="JGS17" s="14"/>
      <c r="JGT17" s="14"/>
      <c r="JGU17" s="14"/>
      <c r="JGV17" s="14"/>
      <c r="JGW17" s="14"/>
      <c r="JGX17" s="14"/>
      <c r="JGY17" s="14"/>
      <c r="JGZ17" s="14"/>
      <c r="JHA17" s="14"/>
      <c r="JHB17" s="14"/>
      <c r="JHC17" s="14"/>
      <c r="JHD17" s="14"/>
      <c r="JHE17" s="14"/>
      <c r="JHF17" s="14"/>
      <c r="JHG17" s="14"/>
      <c r="JHH17" s="14"/>
      <c r="JHI17" s="14"/>
      <c r="JHJ17" s="14"/>
      <c r="JHK17" s="14"/>
      <c r="JHL17" s="14"/>
      <c r="JHM17" s="14"/>
      <c r="JHN17" s="14"/>
      <c r="JHO17" s="14"/>
      <c r="JHP17" s="14"/>
      <c r="JHQ17" s="14"/>
      <c r="JHR17" s="14"/>
      <c r="JHS17" s="14"/>
      <c r="JHT17" s="14"/>
      <c r="JHU17" s="14"/>
      <c r="JHV17" s="14"/>
      <c r="JHW17" s="14"/>
      <c r="JHX17" s="14"/>
      <c r="JHY17" s="14"/>
      <c r="JHZ17" s="14"/>
      <c r="JIA17" s="14"/>
      <c r="JIB17" s="14"/>
      <c r="JIC17" s="14"/>
      <c r="JID17" s="14"/>
      <c r="JIE17" s="14"/>
      <c r="JIF17" s="14"/>
      <c r="JIG17" s="14"/>
      <c r="JIH17" s="14"/>
      <c r="JII17" s="14"/>
      <c r="JIJ17" s="14"/>
      <c r="JIK17" s="14"/>
      <c r="JIL17" s="14"/>
      <c r="JIM17" s="14"/>
      <c r="JIN17" s="14"/>
      <c r="JIO17" s="14"/>
      <c r="JIP17" s="14"/>
      <c r="JIQ17" s="14"/>
      <c r="JIR17" s="14"/>
      <c r="JIS17" s="14"/>
      <c r="JIT17" s="14"/>
      <c r="JIU17" s="14"/>
      <c r="JIV17" s="14"/>
      <c r="JIW17" s="14"/>
      <c r="JIX17" s="14"/>
      <c r="JIY17" s="14"/>
      <c r="JIZ17" s="14"/>
      <c r="JJA17" s="14"/>
      <c r="JJB17" s="14"/>
      <c r="JJC17" s="14"/>
      <c r="JJD17" s="14"/>
      <c r="JJE17" s="14"/>
      <c r="JJF17" s="14"/>
      <c r="JJG17" s="14"/>
      <c r="JJH17" s="14"/>
      <c r="JJI17" s="14"/>
      <c r="JJJ17" s="14"/>
      <c r="JJK17" s="14"/>
      <c r="JJL17" s="14"/>
      <c r="JJM17" s="14"/>
      <c r="JJN17" s="14"/>
      <c r="JJO17" s="14"/>
      <c r="JJP17" s="14"/>
      <c r="JJQ17" s="14"/>
      <c r="JJR17" s="14"/>
      <c r="JJS17" s="14"/>
      <c r="JJT17" s="14"/>
      <c r="JJU17" s="14"/>
      <c r="JJV17" s="14"/>
      <c r="JJW17" s="14"/>
      <c r="JJX17" s="14"/>
      <c r="JJY17" s="14"/>
      <c r="JJZ17" s="14"/>
      <c r="JKA17" s="14"/>
      <c r="JKB17" s="14"/>
      <c r="JKC17" s="14"/>
      <c r="JKD17" s="14"/>
      <c r="JKE17" s="14"/>
      <c r="JKF17" s="14"/>
      <c r="JKG17" s="14"/>
      <c r="JKH17" s="14"/>
      <c r="JKI17" s="14"/>
      <c r="JKJ17" s="14"/>
      <c r="JKK17" s="14"/>
      <c r="JKL17" s="14"/>
      <c r="JKM17" s="14"/>
      <c r="JKN17" s="14"/>
      <c r="JKO17" s="14"/>
      <c r="JKP17" s="14"/>
      <c r="JKQ17" s="14"/>
      <c r="JKR17" s="14"/>
      <c r="JKS17" s="14"/>
      <c r="JKT17" s="14"/>
      <c r="JKU17" s="14"/>
      <c r="JKV17" s="14"/>
      <c r="JKW17" s="14"/>
      <c r="JKX17" s="14"/>
      <c r="JKY17" s="14"/>
      <c r="JKZ17" s="14"/>
      <c r="JLA17" s="14"/>
      <c r="JLB17" s="14"/>
      <c r="JLC17" s="14"/>
      <c r="JLD17" s="14"/>
      <c r="JLE17" s="14"/>
      <c r="JLF17" s="14"/>
      <c r="JLG17" s="14"/>
      <c r="JLH17" s="14"/>
      <c r="JLI17" s="14"/>
      <c r="JLJ17" s="14"/>
      <c r="JLK17" s="14"/>
      <c r="JLL17" s="14"/>
      <c r="JLM17" s="14"/>
      <c r="JLN17" s="14"/>
      <c r="JLO17" s="14"/>
      <c r="JLP17" s="14"/>
      <c r="JLQ17" s="14"/>
      <c r="JLR17" s="14"/>
      <c r="JLS17" s="14"/>
      <c r="JLT17" s="14"/>
      <c r="JLU17" s="14"/>
      <c r="JLV17" s="14"/>
      <c r="JLW17" s="14"/>
      <c r="JLX17" s="14"/>
      <c r="JLY17" s="14"/>
      <c r="JLZ17" s="14"/>
      <c r="JMA17" s="14"/>
      <c r="JMB17" s="14"/>
      <c r="JMC17" s="14"/>
      <c r="JMD17" s="14"/>
      <c r="JME17" s="14"/>
      <c r="JMF17" s="14"/>
      <c r="JMG17" s="14"/>
      <c r="JMH17" s="14"/>
      <c r="JMI17" s="14"/>
      <c r="JMJ17" s="14"/>
      <c r="JMK17" s="14"/>
      <c r="JML17" s="14"/>
      <c r="JMM17" s="14"/>
      <c r="JMN17" s="14"/>
      <c r="JMO17" s="14"/>
      <c r="JMP17" s="14"/>
      <c r="JMQ17" s="14"/>
      <c r="JMR17" s="14"/>
      <c r="JMS17" s="14"/>
      <c r="JMT17" s="14"/>
      <c r="JMU17" s="14"/>
      <c r="JMV17" s="14"/>
      <c r="JMW17" s="14"/>
      <c r="JMX17" s="14"/>
      <c r="JMY17" s="14"/>
      <c r="JMZ17" s="14"/>
      <c r="JNA17" s="14"/>
      <c r="JNB17" s="14"/>
      <c r="JNC17" s="14"/>
      <c r="JND17" s="14"/>
      <c r="JNE17" s="14"/>
      <c r="JNF17" s="14"/>
      <c r="JNG17" s="14"/>
      <c r="JNH17" s="14"/>
      <c r="JNI17" s="14"/>
      <c r="JNJ17" s="14"/>
      <c r="JNK17" s="14"/>
      <c r="JNL17" s="14"/>
      <c r="JNM17" s="14"/>
      <c r="JNN17" s="14"/>
      <c r="JNO17" s="14"/>
      <c r="JNP17" s="14"/>
      <c r="JNQ17" s="14"/>
      <c r="JNR17" s="14"/>
      <c r="JNS17" s="14"/>
      <c r="JNT17" s="14"/>
      <c r="JNU17" s="14"/>
      <c r="JNV17" s="14"/>
      <c r="JNW17" s="14"/>
      <c r="JNX17" s="14"/>
      <c r="JNY17" s="14"/>
      <c r="JNZ17" s="14"/>
      <c r="JOA17" s="14"/>
      <c r="JOB17" s="14"/>
      <c r="JOC17" s="14"/>
      <c r="JOD17" s="14"/>
      <c r="JOE17" s="14"/>
      <c r="JOF17" s="14"/>
      <c r="JOG17" s="14"/>
      <c r="JOH17" s="14"/>
      <c r="JOI17" s="14"/>
      <c r="JOJ17" s="14"/>
      <c r="JOK17" s="14"/>
      <c r="JOL17" s="14"/>
      <c r="JOM17" s="14"/>
      <c r="JON17" s="14"/>
      <c r="JOO17" s="14"/>
      <c r="JOP17" s="14"/>
      <c r="JOQ17" s="14"/>
      <c r="JOR17" s="14"/>
      <c r="JOS17" s="14"/>
      <c r="JOT17" s="14"/>
      <c r="JOU17" s="14"/>
      <c r="JOV17" s="14"/>
      <c r="JOW17" s="14"/>
      <c r="JOX17" s="14"/>
      <c r="JOY17" s="14"/>
      <c r="JOZ17" s="14"/>
      <c r="JPA17" s="14"/>
      <c r="JPB17" s="14"/>
      <c r="JPC17" s="14"/>
      <c r="JPD17" s="14"/>
      <c r="JPE17" s="14"/>
      <c r="JPF17" s="14"/>
      <c r="JPG17" s="14"/>
      <c r="JPH17" s="14"/>
      <c r="JPI17" s="14"/>
      <c r="JPJ17" s="14"/>
      <c r="JPK17" s="14"/>
      <c r="JPL17" s="14"/>
      <c r="JPM17" s="14"/>
      <c r="JPN17" s="14"/>
      <c r="JPO17" s="14"/>
      <c r="JPP17" s="14"/>
      <c r="JPQ17" s="14"/>
      <c r="JPR17" s="14"/>
      <c r="JPS17" s="14"/>
      <c r="JPT17" s="14"/>
      <c r="JPU17" s="14"/>
      <c r="JPV17" s="14"/>
      <c r="JPW17" s="14"/>
      <c r="JPX17" s="14"/>
      <c r="JPY17" s="14"/>
      <c r="JPZ17" s="14"/>
      <c r="JQA17" s="14"/>
      <c r="JQB17" s="14"/>
      <c r="JQC17" s="14"/>
      <c r="JQD17" s="14"/>
      <c r="JQE17" s="14"/>
      <c r="JQF17" s="14"/>
      <c r="JQG17" s="14"/>
      <c r="JQH17" s="14"/>
      <c r="JQI17" s="14"/>
      <c r="JQJ17" s="14"/>
      <c r="JQK17" s="14"/>
      <c r="JQL17" s="14"/>
      <c r="JQM17" s="14"/>
      <c r="JQN17" s="14"/>
      <c r="JQO17" s="14"/>
      <c r="JQP17" s="14"/>
      <c r="JQQ17" s="14"/>
      <c r="JQR17" s="14"/>
      <c r="JQS17" s="14"/>
      <c r="JQT17" s="14"/>
      <c r="JQU17" s="14"/>
      <c r="JQV17" s="14"/>
      <c r="JQW17" s="14"/>
      <c r="JQX17" s="14"/>
      <c r="JQY17" s="14"/>
      <c r="JQZ17" s="14"/>
      <c r="JRA17" s="14"/>
      <c r="JRB17" s="14"/>
      <c r="JRC17" s="14"/>
      <c r="JRD17" s="14"/>
      <c r="JRE17" s="14"/>
      <c r="JRF17" s="14"/>
      <c r="JRG17" s="14"/>
      <c r="JRH17" s="14"/>
      <c r="JRI17" s="14"/>
      <c r="JRJ17" s="14"/>
      <c r="JRK17" s="14"/>
      <c r="JRL17" s="14"/>
      <c r="JRM17" s="14"/>
      <c r="JRN17" s="14"/>
      <c r="JRO17" s="14"/>
      <c r="JRP17" s="14"/>
      <c r="JRQ17" s="14"/>
      <c r="JRR17" s="14"/>
      <c r="JRS17" s="14"/>
      <c r="JRT17" s="14"/>
      <c r="JRU17" s="14"/>
      <c r="JRV17" s="14"/>
      <c r="JRW17" s="14"/>
      <c r="JRX17" s="14"/>
      <c r="JRY17" s="14"/>
      <c r="JRZ17" s="14"/>
      <c r="JSA17" s="14"/>
      <c r="JSB17" s="14"/>
      <c r="JSC17" s="14"/>
      <c r="JSD17" s="14"/>
      <c r="JSE17" s="14"/>
      <c r="JSF17" s="14"/>
      <c r="JSG17" s="14"/>
      <c r="JSH17" s="14"/>
      <c r="JSI17" s="14"/>
      <c r="JSJ17" s="14"/>
      <c r="JSK17" s="14"/>
      <c r="JSL17" s="14"/>
      <c r="JSM17" s="14"/>
      <c r="JSN17" s="14"/>
      <c r="JSO17" s="14"/>
      <c r="JSP17" s="14"/>
      <c r="JSQ17" s="14"/>
      <c r="JSR17" s="14"/>
      <c r="JSS17" s="14"/>
      <c r="JST17" s="14"/>
      <c r="JSU17" s="14"/>
      <c r="JSV17" s="14"/>
      <c r="JSW17" s="14"/>
      <c r="JSX17" s="14"/>
      <c r="JSY17" s="14"/>
      <c r="JSZ17" s="14"/>
      <c r="JTA17" s="14"/>
      <c r="JTB17" s="14"/>
      <c r="JTC17" s="14"/>
      <c r="JTD17" s="14"/>
      <c r="JTE17" s="14"/>
      <c r="JTF17" s="14"/>
      <c r="JTG17" s="14"/>
      <c r="JTH17" s="14"/>
      <c r="JTI17" s="14"/>
      <c r="JTJ17" s="14"/>
      <c r="JTK17" s="14"/>
      <c r="JTL17" s="14"/>
      <c r="JTM17" s="14"/>
      <c r="JTN17" s="14"/>
      <c r="JTO17" s="14"/>
      <c r="JTP17" s="14"/>
      <c r="JTQ17" s="14"/>
      <c r="JTR17" s="14"/>
      <c r="JTS17" s="14"/>
      <c r="JTT17" s="14"/>
      <c r="JTU17" s="14"/>
      <c r="JTV17" s="14"/>
      <c r="JTW17" s="14"/>
      <c r="JTX17" s="14"/>
      <c r="JTY17" s="14"/>
      <c r="JTZ17" s="14"/>
      <c r="JUA17" s="14"/>
      <c r="JUB17" s="14"/>
      <c r="JUC17" s="14"/>
      <c r="JUD17" s="14"/>
      <c r="JUE17" s="14"/>
      <c r="JUF17" s="14"/>
      <c r="JUG17" s="14"/>
      <c r="JUH17" s="14"/>
      <c r="JUI17" s="14"/>
      <c r="JUJ17" s="14"/>
      <c r="JUK17" s="14"/>
      <c r="JUL17" s="14"/>
      <c r="JUM17" s="14"/>
      <c r="JUN17" s="14"/>
      <c r="JUO17" s="14"/>
      <c r="JUP17" s="14"/>
      <c r="JUQ17" s="14"/>
      <c r="JUR17" s="14"/>
      <c r="JUS17" s="14"/>
      <c r="JUT17" s="14"/>
      <c r="JUU17" s="14"/>
      <c r="JUV17" s="14"/>
      <c r="JUW17" s="14"/>
      <c r="JUX17" s="14"/>
      <c r="JUY17" s="14"/>
      <c r="JUZ17" s="14"/>
      <c r="JVA17" s="14"/>
      <c r="JVB17" s="14"/>
      <c r="JVC17" s="14"/>
      <c r="JVD17" s="14"/>
      <c r="JVE17" s="14"/>
      <c r="JVF17" s="14"/>
      <c r="JVG17" s="14"/>
      <c r="JVH17" s="14"/>
      <c r="JVI17" s="14"/>
      <c r="JVJ17" s="14"/>
      <c r="JVK17" s="14"/>
      <c r="JVL17" s="14"/>
      <c r="JVM17" s="14"/>
      <c r="JVN17" s="14"/>
      <c r="JVO17" s="14"/>
      <c r="JVP17" s="14"/>
      <c r="JVQ17" s="14"/>
      <c r="JVR17" s="14"/>
      <c r="JVS17" s="14"/>
      <c r="JVT17" s="14"/>
      <c r="JVU17" s="14"/>
      <c r="JVV17" s="14"/>
      <c r="JVW17" s="14"/>
      <c r="JVX17" s="14"/>
      <c r="JVY17" s="14"/>
      <c r="JVZ17" s="14"/>
      <c r="JWA17" s="14"/>
      <c r="JWB17" s="14"/>
      <c r="JWC17" s="14"/>
      <c r="JWD17" s="14"/>
      <c r="JWE17" s="14"/>
      <c r="JWF17" s="14"/>
      <c r="JWG17" s="14"/>
      <c r="JWH17" s="14"/>
      <c r="JWI17" s="14"/>
      <c r="JWJ17" s="14"/>
      <c r="JWK17" s="14"/>
      <c r="JWL17" s="14"/>
      <c r="JWM17" s="14"/>
      <c r="JWN17" s="14"/>
      <c r="JWO17" s="14"/>
      <c r="JWP17" s="14"/>
      <c r="JWQ17" s="14"/>
      <c r="JWR17" s="14"/>
      <c r="JWS17" s="14"/>
      <c r="JWT17" s="14"/>
      <c r="JWU17" s="14"/>
      <c r="JWV17" s="14"/>
      <c r="JWW17" s="14"/>
      <c r="JWX17" s="14"/>
      <c r="JWY17" s="14"/>
      <c r="JWZ17" s="14"/>
      <c r="JXA17" s="14"/>
      <c r="JXB17" s="14"/>
      <c r="JXC17" s="14"/>
      <c r="JXD17" s="14"/>
      <c r="JXE17" s="14"/>
      <c r="JXF17" s="14"/>
      <c r="JXG17" s="14"/>
      <c r="JXH17" s="14"/>
      <c r="JXI17" s="14"/>
      <c r="JXJ17" s="14"/>
      <c r="JXK17" s="14"/>
      <c r="JXL17" s="14"/>
      <c r="JXM17" s="14"/>
      <c r="JXN17" s="14"/>
      <c r="JXO17" s="14"/>
      <c r="JXP17" s="14"/>
      <c r="JXQ17" s="14"/>
      <c r="JXR17" s="14"/>
      <c r="JXS17" s="14"/>
      <c r="JXT17" s="14"/>
      <c r="JXU17" s="14"/>
      <c r="JXV17" s="14"/>
      <c r="JXW17" s="14"/>
      <c r="JXX17" s="14"/>
      <c r="JXY17" s="14"/>
      <c r="JXZ17" s="14"/>
      <c r="JYA17" s="14"/>
      <c r="JYB17" s="14"/>
      <c r="JYC17" s="14"/>
      <c r="JYD17" s="14"/>
      <c r="JYE17" s="14"/>
      <c r="JYF17" s="14"/>
      <c r="JYG17" s="14"/>
      <c r="JYH17" s="14"/>
      <c r="JYI17" s="14"/>
      <c r="JYJ17" s="14"/>
      <c r="JYK17" s="14"/>
      <c r="JYL17" s="14"/>
      <c r="JYM17" s="14"/>
      <c r="JYN17" s="14"/>
      <c r="JYO17" s="14"/>
      <c r="JYP17" s="14"/>
      <c r="JYQ17" s="14"/>
      <c r="JYR17" s="14"/>
      <c r="JYS17" s="14"/>
      <c r="JYT17" s="14"/>
      <c r="JYU17" s="14"/>
      <c r="JYV17" s="14"/>
      <c r="JYW17" s="14"/>
      <c r="JYX17" s="14"/>
      <c r="JYY17" s="14"/>
      <c r="JYZ17" s="14"/>
      <c r="JZA17" s="14"/>
      <c r="JZB17" s="14"/>
      <c r="JZC17" s="14"/>
      <c r="JZD17" s="14"/>
      <c r="JZE17" s="14"/>
      <c r="JZF17" s="14"/>
      <c r="JZG17" s="14"/>
      <c r="JZH17" s="14"/>
      <c r="JZI17" s="14"/>
      <c r="JZJ17" s="14"/>
      <c r="JZK17" s="14"/>
      <c r="JZL17" s="14"/>
      <c r="JZM17" s="14"/>
      <c r="JZN17" s="14"/>
      <c r="JZO17" s="14"/>
      <c r="JZP17" s="14"/>
      <c r="JZQ17" s="14"/>
      <c r="JZR17" s="14"/>
      <c r="JZS17" s="14"/>
      <c r="JZT17" s="14"/>
      <c r="JZU17" s="14"/>
      <c r="JZV17" s="14"/>
      <c r="JZW17" s="14"/>
      <c r="JZX17" s="14"/>
      <c r="JZY17" s="14"/>
      <c r="JZZ17" s="14"/>
      <c r="KAA17" s="14"/>
      <c r="KAB17" s="14"/>
      <c r="KAC17" s="14"/>
      <c r="KAD17" s="14"/>
      <c r="KAE17" s="14"/>
      <c r="KAF17" s="14"/>
      <c r="KAG17" s="14"/>
      <c r="KAH17" s="14"/>
      <c r="KAI17" s="14"/>
      <c r="KAJ17" s="14"/>
      <c r="KAK17" s="14"/>
      <c r="KAL17" s="14"/>
      <c r="KAM17" s="14"/>
      <c r="KAN17" s="14"/>
      <c r="KAO17" s="14"/>
      <c r="KAP17" s="14"/>
      <c r="KAQ17" s="14"/>
      <c r="KAR17" s="14"/>
      <c r="KAS17" s="14"/>
      <c r="KAT17" s="14"/>
      <c r="KAU17" s="14"/>
      <c r="KAV17" s="14"/>
      <c r="KAW17" s="14"/>
      <c r="KAX17" s="14"/>
      <c r="KAY17" s="14"/>
      <c r="KAZ17" s="14"/>
      <c r="KBA17" s="14"/>
      <c r="KBB17" s="14"/>
      <c r="KBC17" s="14"/>
      <c r="KBD17" s="14"/>
      <c r="KBE17" s="14"/>
      <c r="KBF17" s="14"/>
      <c r="KBG17" s="14"/>
      <c r="KBH17" s="14"/>
      <c r="KBI17" s="14"/>
      <c r="KBJ17" s="14"/>
      <c r="KBK17" s="14"/>
      <c r="KBL17" s="14"/>
      <c r="KBM17" s="14"/>
      <c r="KBN17" s="14"/>
      <c r="KBO17" s="14"/>
      <c r="KBP17" s="14"/>
      <c r="KBQ17" s="14"/>
      <c r="KBR17" s="14"/>
      <c r="KBS17" s="14"/>
      <c r="KBT17" s="14"/>
      <c r="KBU17" s="14"/>
      <c r="KBV17" s="14"/>
      <c r="KBW17" s="14"/>
      <c r="KBX17" s="14"/>
      <c r="KBY17" s="14"/>
      <c r="KBZ17" s="14"/>
      <c r="KCA17" s="14"/>
      <c r="KCB17" s="14"/>
      <c r="KCC17" s="14"/>
      <c r="KCD17" s="14"/>
      <c r="KCE17" s="14"/>
      <c r="KCF17" s="14"/>
      <c r="KCG17" s="14"/>
      <c r="KCH17" s="14"/>
      <c r="KCI17" s="14"/>
      <c r="KCJ17" s="14"/>
      <c r="KCK17" s="14"/>
      <c r="KCL17" s="14"/>
      <c r="KCM17" s="14"/>
      <c r="KCN17" s="14"/>
      <c r="KCO17" s="14"/>
      <c r="KCP17" s="14"/>
      <c r="KCQ17" s="14"/>
      <c r="KCR17" s="14"/>
      <c r="KCS17" s="14"/>
      <c r="KCT17" s="14"/>
      <c r="KCU17" s="14"/>
      <c r="KCV17" s="14"/>
      <c r="KCW17" s="14"/>
      <c r="KCX17" s="14"/>
      <c r="KCY17" s="14"/>
      <c r="KCZ17" s="14"/>
      <c r="KDA17" s="14"/>
      <c r="KDB17" s="14"/>
      <c r="KDC17" s="14"/>
      <c r="KDD17" s="14"/>
      <c r="KDE17" s="14"/>
      <c r="KDF17" s="14"/>
      <c r="KDG17" s="14"/>
      <c r="KDH17" s="14"/>
      <c r="KDI17" s="14"/>
      <c r="KDJ17" s="14"/>
      <c r="KDK17" s="14"/>
      <c r="KDL17" s="14"/>
      <c r="KDM17" s="14"/>
      <c r="KDN17" s="14"/>
      <c r="KDO17" s="14"/>
      <c r="KDP17" s="14"/>
      <c r="KDQ17" s="14"/>
      <c r="KDR17" s="14"/>
      <c r="KDS17" s="14"/>
      <c r="KDT17" s="14"/>
      <c r="KDU17" s="14"/>
      <c r="KDV17" s="14"/>
      <c r="KDW17" s="14"/>
      <c r="KDX17" s="14"/>
      <c r="KDY17" s="14"/>
      <c r="KDZ17" s="14"/>
      <c r="KEA17" s="14"/>
      <c r="KEB17" s="14"/>
      <c r="KEC17" s="14"/>
      <c r="KED17" s="14"/>
      <c r="KEE17" s="14"/>
      <c r="KEF17" s="14"/>
      <c r="KEG17" s="14"/>
      <c r="KEH17" s="14"/>
      <c r="KEI17" s="14"/>
      <c r="KEJ17" s="14"/>
      <c r="KEK17" s="14"/>
      <c r="KEL17" s="14"/>
      <c r="KEM17" s="14"/>
      <c r="KEN17" s="14"/>
      <c r="KEO17" s="14"/>
      <c r="KEP17" s="14"/>
      <c r="KEQ17" s="14"/>
      <c r="KER17" s="14"/>
      <c r="KES17" s="14"/>
      <c r="KET17" s="14"/>
      <c r="KEU17" s="14"/>
      <c r="KEV17" s="14"/>
      <c r="KEW17" s="14"/>
      <c r="KEX17" s="14"/>
      <c r="KEY17" s="14"/>
      <c r="KEZ17" s="14"/>
      <c r="KFA17" s="14"/>
      <c r="KFB17" s="14"/>
      <c r="KFC17" s="14"/>
      <c r="KFD17" s="14"/>
      <c r="KFE17" s="14"/>
      <c r="KFF17" s="14"/>
      <c r="KFG17" s="14"/>
      <c r="KFH17" s="14"/>
      <c r="KFI17" s="14"/>
      <c r="KFJ17" s="14"/>
      <c r="KFK17" s="14"/>
      <c r="KFL17" s="14"/>
      <c r="KFM17" s="14"/>
      <c r="KFN17" s="14"/>
      <c r="KFO17" s="14"/>
      <c r="KFP17" s="14"/>
      <c r="KFQ17" s="14"/>
      <c r="KFR17" s="14"/>
      <c r="KFS17" s="14"/>
      <c r="KFT17" s="14"/>
      <c r="KFU17" s="14"/>
      <c r="KFV17" s="14"/>
      <c r="KFW17" s="14"/>
      <c r="KFX17" s="14"/>
      <c r="KFY17" s="14"/>
      <c r="KFZ17" s="14"/>
      <c r="KGA17" s="14"/>
      <c r="KGB17" s="14"/>
      <c r="KGC17" s="14"/>
      <c r="KGD17" s="14"/>
      <c r="KGE17" s="14"/>
      <c r="KGF17" s="14"/>
      <c r="KGG17" s="14"/>
      <c r="KGH17" s="14"/>
      <c r="KGI17" s="14"/>
      <c r="KGJ17" s="14"/>
      <c r="KGK17" s="14"/>
      <c r="KGL17" s="14"/>
      <c r="KGM17" s="14"/>
      <c r="KGN17" s="14"/>
      <c r="KGO17" s="14"/>
      <c r="KGP17" s="14"/>
      <c r="KGQ17" s="14"/>
      <c r="KGR17" s="14"/>
      <c r="KGS17" s="14"/>
      <c r="KGT17" s="14"/>
      <c r="KGU17" s="14"/>
      <c r="KGV17" s="14"/>
      <c r="KGW17" s="14"/>
      <c r="KGX17" s="14"/>
      <c r="KGY17" s="14"/>
      <c r="KGZ17" s="14"/>
      <c r="KHA17" s="14"/>
      <c r="KHB17" s="14"/>
      <c r="KHC17" s="14"/>
      <c r="KHD17" s="14"/>
      <c r="KHE17" s="14"/>
      <c r="KHF17" s="14"/>
      <c r="KHG17" s="14"/>
      <c r="KHH17" s="14"/>
      <c r="KHI17" s="14"/>
      <c r="KHJ17" s="14"/>
      <c r="KHK17" s="14"/>
      <c r="KHL17" s="14"/>
      <c r="KHM17" s="14"/>
      <c r="KHN17" s="14"/>
      <c r="KHO17" s="14"/>
      <c r="KHP17" s="14"/>
      <c r="KHQ17" s="14"/>
      <c r="KHR17" s="14"/>
      <c r="KHS17" s="14"/>
      <c r="KHT17" s="14"/>
      <c r="KHU17" s="14"/>
      <c r="KHV17" s="14"/>
      <c r="KHW17" s="14"/>
      <c r="KHX17" s="14"/>
      <c r="KHY17" s="14"/>
      <c r="KHZ17" s="14"/>
      <c r="KIA17" s="14"/>
      <c r="KIB17" s="14"/>
      <c r="KIC17" s="14"/>
      <c r="KID17" s="14"/>
      <c r="KIE17" s="14"/>
      <c r="KIF17" s="14"/>
      <c r="KIG17" s="14"/>
      <c r="KIH17" s="14"/>
      <c r="KII17" s="14"/>
      <c r="KIJ17" s="14"/>
      <c r="KIK17" s="14"/>
      <c r="KIL17" s="14"/>
      <c r="KIM17" s="14"/>
      <c r="KIN17" s="14"/>
      <c r="KIO17" s="14"/>
      <c r="KIP17" s="14"/>
      <c r="KIQ17" s="14"/>
      <c r="KIR17" s="14"/>
      <c r="KIS17" s="14"/>
      <c r="KIT17" s="14"/>
      <c r="KIU17" s="14"/>
      <c r="KIV17" s="14"/>
      <c r="KIW17" s="14"/>
      <c r="KIX17" s="14"/>
      <c r="KIY17" s="14"/>
      <c r="KIZ17" s="14"/>
      <c r="KJA17" s="14"/>
      <c r="KJB17" s="14"/>
      <c r="KJC17" s="14"/>
      <c r="KJD17" s="14"/>
      <c r="KJE17" s="14"/>
      <c r="KJF17" s="14"/>
      <c r="KJG17" s="14"/>
      <c r="KJH17" s="14"/>
      <c r="KJI17" s="14"/>
      <c r="KJJ17" s="14"/>
      <c r="KJK17" s="14"/>
      <c r="KJL17" s="14"/>
      <c r="KJM17" s="14"/>
      <c r="KJN17" s="14"/>
      <c r="KJO17" s="14"/>
      <c r="KJP17" s="14"/>
      <c r="KJQ17" s="14"/>
      <c r="KJR17" s="14"/>
      <c r="KJS17" s="14"/>
      <c r="KJT17" s="14"/>
      <c r="KJU17" s="14"/>
      <c r="KJV17" s="14"/>
      <c r="KJW17" s="14"/>
      <c r="KJX17" s="14"/>
      <c r="KJY17" s="14"/>
      <c r="KJZ17" s="14"/>
      <c r="KKA17" s="14"/>
      <c r="KKB17" s="14"/>
      <c r="KKC17" s="14"/>
      <c r="KKD17" s="14"/>
      <c r="KKE17" s="14"/>
      <c r="KKF17" s="14"/>
      <c r="KKG17" s="14"/>
      <c r="KKH17" s="14"/>
      <c r="KKI17" s="14"/>
      <c r="KKJ17" s="14"/>
      <c r="KKK17" s="14"/>
      <c r="KKL17" s="14"/>
      <c r="KKM17" s="14"/>
      <c r="KKN17" s="14"/>
      <c r="KKO17" s="14"/>
      <c r="KKP17" s="14"/>
      <c r="KKQ17" s="14"/>
      <c r="KKR17" s="14"/>
      <c r="KKS17" s="14"/>
      <c r="KKT17" s="14"/>
      <c r="KKU17" s="14"/>
      <c r="KKV17" s="14"/>
      <c r="KKW17" s="14"/>
      <c r="KKX17" s="14"/>
      <c r="KKY17" s="14"/>
      <c r="KKZ17" s="14"/>
      <c r="KLA17" s="14"/>
      <c r="KLB17" s="14"/>
      <c r="KLC17" s="14"/>
      <c r="KLD17" s="14"/>
      <c r="KLE17" s="14"/>
      <c r="KLF17" s="14"/>
      <c r="KLG17" s="14"/>
      <c r="KLH17" s="14"/>
      <c r="KLI17" s="14"/>
      <c r="KLJ17" s="14"/>
      <c r="KLK17" s="14"/>
      <c r="KLL17" s="14"/>
      <c r="KLM17" s="14"/>
      <c r="KLN17" s="14"/>
      <c r="KLO17" s="14"/>
      <c r="KLP17" s="14"/>
      <c r="KLQ17" s="14"/>
      <c r="KLR17" s="14"/>
      <c r="KLS17" s="14"/>
      <c r="KLT17" s="14"/>
      <c r="KLU17" s="14"/>
      <c r="KLV17" s="14"/>
      <c r="KLW17" s="14"/>
      <c r="KLX17" s="14"/>
      <c r="KLY17" s="14"/>
      <c r="KLZ17" s="14"/>
      <c r="KMA17" s="14"/>
      <c r="KMB17" s="14"/>
      <c r="KMC17" s="14"/>
      <c r="KMD17" s="14"/>
      <c r="KME17" s="14"/>
      <c r="KMF17" s="14"/>
      <c r="KMG17" s="14"/>
      <c r="KMH17" s="14"/>
      <c r="KMI17" s="14"/>
      <c r="KMJ17" s="14"/>
      <c r="KMK17" s="14"/>
      <c r="KML17" s="14"/>
      <c r="KMM17" s="14"/>
      <c r="KMN17" s="14"/>
      <c r="KMO17" s="14"/>
      <c r="KMP17" s="14"/>
      <c r="KMQ17" s="14"/>
      <c r="KMR17" s="14"/>
      <c r="KMS17" s="14"/>
      <c r="KMT17" s="14"/>
      <c r="KMU17" s="14"/>
      <c r="KMV17" s="14"/>
      <c r="KMW17" s="14"/>
      <c r="KMX17" s="14"/>
      <c r="KMY17" s="14"/>
      <c r="KMZ17" s="14"/>
      <c r="KNA17" s="14"/>
      <c r="KNB17" s="14"/>
      <c r="KNC17" s="14"/>
      <c r="KND17" s="14"/>
      <c r="KNE17" s="14"/>
      <c r="KNF17" s="14"/>
      <c r="KNG17" s="14"/>
      <c r="KNH17" s="14"/>
      <c r="KNI17" s="14"/>
      <c r="KNJ17" s="14"/>
      <c r="KNK17" s="14"/>
      <c r="KNL17" s="14"/>
      <c r="KNM17" s="14"/>
      <c r="KNN17" s="14"/>
      <c r="KNO17" s="14"/>
      <c r="KNP17" s="14"/>
      <c r="KNQ17" s="14"/>
      <c r="KNR17" s="14"/>
      <c r="KNS17" s="14"/>
      <c r="KNT17" s="14"/>
      <c r="KNU17" s="14"/>
      <c r="KNV17" s="14"/>
      <c r="KNW17" s="14"/>
      <c r="KNX17" s="14"/>
      <c r="KNY17" s="14"/>
      <c r="KNZ17" s="14"/>
      <c r="KOA17" s="14"/>
      <c r="KOB17" s="14"/>
      <c r="KOC17" s="14"/>
      <c r="KOD17" s="14"/>
      <c r="KOE17" s="14"/>
      <c r="KOF17" s="14"/>
      <c r="KOG17" s="14"/>
      <c r="KOH17" s="14"/>
      <c r="KOI17" s="14"/>
      <c r="KOJ17" s="14"/>
      <c r="KOK17" s="14"/>
      <c r="KOL17" s="14"/>
      <c r="KOM17" s="14"/>
      <c r="KON17" s="14"/>
      <c r="KOO17" s="14"/>
      <c r="KOP17" s="14"/>
      <c r="KOQ17" s="14"/>
      <c r="KOR17" s="14"/>
      <c r="KOS17" s="14"/>
      <c r="KOT17" s="14"/>
      <c r="KOU17" s="14"/>
      <c r="KOV17" s="14"/>
      <c r="KOW17" s="14"/>
      <c r="KOX17" s="14"/>
      <c r="KOY17" s="14"/>
      <c r="KOZ17" s="14"/>
      <c r="KPA17" s="14"/>
      <c r="KPB17" s="14"/>
      <c r="KPC17" s="14"/>
      <c r="KPD17" s="14"/>
      <c r="KPE17" s="14"/>
      <c r="KPF17" s="14"/>
      <c r="KPG17" s="14"/>
      <c r="KPH17" s="14"/>
      <c r="KPI17" s="14"/>
      <c r="KPJ17" s="14"/>
      <c r="KPK17" s="14"/>
      <c r="KPL17" s="14"/>
      <c r="KPM17" s="14"/>
      <c r="KPN17" s="14"/>
      <c r="KPO17" s="14"/>
      <c r="KPP17" s="14"/>
      <c r="KPQ17" s="14"/>
      <c r="KPR17" s="14"/>
      <c r="KPS17" s="14"/>
      <c r="KPT17" s="14"/>
      <c r="KPU17" s="14"/>
      <c r="KPV17" s="14"/>
      <c r="KPW17" s="14"/>
      <c r="KPX17" s="14"/>
      <c r="KPY17" s="14"/>
      <c r="KPZ17" s="14"/>
      <c r="KQA17" s="14"/>
      <c r="KQB17" s="14"/>
      <c r="KQC17" s="14"/>
      <c r="KQD17" s="14"/>
      <c r="KQE17" s="14"/>
      <c r="KQF17" s="14"/>
      <c r="KQG17" s="14"/>
      <c r="KQH17" s="14"/>
      <c r="KQI17" s="14"/>
      <c r="KQJ17" s="14"/>
      <c r="KQK17" s="14"/>
      <c r="KQL17" s="14"/>
      <c r="KQM17" s="14"/>
      <c r="KQN17" s="14"/>
      <c r="KQO17" s="14"/>
      <c r="KQP17" s="14"/>
      <c r="KQQ17" s="14"/>
      <c r="KQR17" s="14"/>
      <c r="KQS17" s="14"/>
      <c r="KQT17" s="14"/>
      <c r="KQU17" s="14"/>
      <c r="KQV17" s="14"/>
      <c r="KQW17" s="14"/>
      <c r="KQX17" s="14"/>
      <c r="KQY17" s="14"/>
      <c r="KQZ17" s="14"/>
      <c r="KRA17" s="14"/>
      <c r="KRB17" s="14"/>
      <c r="KRC17" s="14"/>
      <c r="KRD17" s="14"/>
      <c r="KRE17" s="14"/>
      <c r="KRF17" s="14"/>
      <c r="KRG17" s="14"/>
      <c r="KRH17" s="14"/>
      <c r="KRI17" s="14"/>
      <c r="KRJ17" s="14"/>
      <c r="KRK17" s="14"/>
      <c r="KRL17" s="14"/>
      <c r="KRM17" s="14"/>
      <c r="KRN17" s="14"/>
      <c r="KRO17" s="14"/>
      <c r="KRP17" s="14"/>
      <c r="KRQ17" s="14"/>
      <c r="KRR17" s="14"/>
      <c r="KRS17" s="14"/>
      <c r="KRT17" s="14"/>
      <c r="KRU17" s="14"/>
      <c r="KRV17" s="14"/>
      <c r="KRW17" s="14"/>
      <c r="KRX17" s="14"/>
      <c r="KRY17" s="14"/>
      <c r="KRZ17" s="14"/>
      <c r="KSA17" s="14"/>
      <c r="KSB17" s="14"/>
      <c r="KSC17" s="14"/>
      <c r="KSD17" s="14"/>
      <c r="KSE17" s="14"/>
      <c r="KSF17" s="14"/>
      <c r="KSG17" s="14"/>
      <c r="KSH17" s="14"/>
      <c r="KSI17" s="14"/>
      <c r="KSJ17" s="14"/>
      <c r="KSK17" s="14"/>
      <c r="KSL17" s="14"/>
      <c r="KSM17" s="14"/>
      <c r="KSN17" s="14"/>
      <c r="KSO17" s="14"/>
      <c r="KSP17" s="14"/>
      <c r="KSQ17" s="14"/>
      <c r="KSR17" s="14"/>
      <c r="KSS17" s="14"/>
      <c r="KST17" s="14"/>
      <c r="KSU17" s="14"/>
      <c r="KSV17" s="14"/>
      <c r="KSW17" s="14"/>
      <c r="KSX17" s="14"/>
      <c r="KSY17" s="14"/>
      <c r="KSZ17" s="14"/>
      <c r="KTA17" s="14"/>
      <c r="KTB17" s="14"/>
      <c r="KTC17" s="14"/>
      <c r="KTD17" s="14"/>
      <c r="KTE17" s="14"/>
      <c r="KTF17" s="14"/>
      <c r="KTG17" s="14"/>
      <c r="KTH17" s="14"/>
      <c r="KTI17" s="14"/>
      <c r="KTJ17" s="14"/>
      <c r="KTK17" s="14"/>
      <c r="KTL17" s="14"/>
      <c r="KTM17" s="14"/>
      <c r="KTN17" s="14"/>
      <c r="KTO17" s="14"/>
      <c r="KTP17" s="14"/>
      <c r="KTQ17" s="14"/>
      <c r="KTR17" s="14"/>
      <c r="KTS17" s="14"/>
      <c r="KTT17" s="14"/>
      <c r="KTU17" s="14"/>
      <c r="KTV17" s="14"/>
      <c r="KTW17" s="14"/>
      <c r="KTX17" s="14"/>
      <c r="KTY17" s="14"/>
      <c r="KTZ17" s="14"/>
      <c r="KUA17" s="14"/>
      <c r="KUB17" s="14"/>
      <c r="KUC17" s="14"/>
      <c r="KUD17" s="14"/>
      <c r="KUE17" s="14"/>
      <c r="KUF17" s="14"/>
      <c r="KUG17" s="14"/>
      <c r="KUH17" s="14"/>
      <c r="KUI17" s="14"/>
      <c r="KUJ17" s="14"/>
      <c r="KUK17" s="14"/>
      <c r="KUL17" s="14"/>
      <c r="KUM17" s="14"/>
      <c r="KUN17" s="14"/>
      <c r="KUO17" s="14"/>
      <c r="KUP17" s="14"/>
      <c r="KUQ17" s="14"/>
      <c r="KUR17" s="14"/>
      <c r="KUS17" s="14"/>
      <c r="KUT17" s="14"/>
      <c r="KUU17" s="14"/>
      <c r="KUV17" s="14"/>
      <c r="KUW17" s="14"/>
      <c r="KUX17" s="14"/>
      <c r="KUY17" s="14"/>
      <c r="KUZ17" s="14"/>
      <c r="KVA17" s="14"/>
      <c r="KVB17" s="14"/>
      <c r="KVC17" s="14"/>
      <c r="KVD17" s="14"/>
      <c r="KVE17" s="14"/>
      <c r="KVF17" s="14"/>
      <c r="KVG17" s="14"/>
      <c r="KVH17" s="14"/>
      <c r="KVI17" s="14"/>
      <c r="KVJ17" s="14"/>
      <c r="KVK17" s="14"/>
      <c r="KVL17" s="14"/>
      <c r="KVM17" s="14"/>
      <c r="KVN17" s="14"/>
      <c r="KVO17" s="14"/>
      <c r="KVP17" s="14"/>
      <c r="KVQ17" s="14"/>
      <c r="KVR17" s="14"/>
      <c r="KVS17" s="14"/>
      <c r="KVT17" s="14"/>
      <c r="KVU17" s="14"/>
      <c r="KVV17" s="14"/>
      <c r="KVW17" s="14"/>
      <c r="KVX17" s="14"/>
      <c r="KVY17" s="14"/>
      <c r="KVZ17" s="14"/>
      <c r="KWA17" s="14"/>
      <c r="KWB17" s="14"/>
      <c r="KWC17" s="14"/>
      <c r="KWD17" s="14"/>
      <c r="KWE17" s="14"/>
      <c r="KWF17" s="14"/>
      <c r="KWG17" s="14"/>
      <c r="KWH17" s="14"/>
      <c r="KWI17" s="14"/>
      <c r="KWJ17" s="14"/>
      <c r="KWK17" s="14"/>
      <c r="KWL17" s="14"/>
      <c r="KWM17" s="14"/>
      <c r="KWN17" s="14"/>
      <c r="KWO17" s="14"/>
      <c r="KWP17" s="14"/>
      <c r="KWQ17" s="14"/>
      <c r="KWR17" s="14"/>
      <c r="KWS17" s="14"/>
      <c r="KWT17" s="14"/>
      <c r="KWU17" s="14"/>
      <c r="KWV17" s="14"/>
      <c r="KWW17" s="14"/>
      <c r="KWX17" s="14"/>
      <c r="KWY17" s="14"/>
      <c r="KWZ17" s="14"/>
      <c r="KXA17" s="14"/>
      <c r="KXB17" s="14"/>
      <c r="KXC17" s="14"/>
      <c r="KXD17" s="14"/>
      <c r="KXE17" s="14"/>
      <c r="KXF17" s="14"/>
      <c r="KXG17" s="14"/>
      <c r="KXH17" s="14"/>
      <c r="KXI17" s="14"/>
      <c r="KXJ17" s="14"/>
      <c r="KXK17" s="14"/>
      <c r="KXL17" s="14"/>
      <c r="KXM17" s="14"/>
      <c r="KXN17" s="14"/>
      <c r="KXO17" s="14"/>
      <c r="KXP17" s="14"/>
      <c r="KXQ17" s="14"/>
      <c r="KXR17" s="14"/>
      <c r="KXS17" s="14"/>
      <c r="KXT17" s="14"/>
      <c r="KXU17" s="14"/>
      <c r="KXV17" s="14"/>
      <c r="KXW17" s="14"/>
      <c r="KXX17" s="14"/>
      <c r="KXY17" s="14"/>
      <c r="KXZ17" s="14"/>
      <c r="KYA17" s="14"/>
      <c r="KYB17" s="14"/>
      <c r="KYC17" s="14"/>
      <c r="KYD17" s="14"/>
      <c r="KYE17" s="14"/>
      <c r="KYF17" s="14"/>
      <c r="KYG17" s="14"/>
      <c r="KYH17" s="14"/>
      <c r="KYI17" s="14"/>
      <c r="KYJ17" s="14"/>
      <c r="KYK17" s="14"/>
      <c r="KYL17" s="14"/>
      <c r="KYM17" s="14"/>
      <c r="KYN17" s="14"/>
      <c r="KYO17" s="14"/>
      <c r="KYP17" s="14"/>
      <c r="KYQ17" s="14"/>
      <c r="KYR17" s="14"/>
      <c r="KYS17" s="14"/>
      <c r="KYT17" s="14"/>
      <c r="KYU17" s="14"/>
      <c r="KYV17" s="14"/>
      <c r="KYW17" s="14"/>
      <c r="KYX17" s="14"/>
      <c r="KYY17" s="14"/>
      <c r="KYZ17" s="14"/>
      <c r="KZA17" s="14"/>
      <c r="KZB17" s="14"/>
      <c r="KZC17" s="14"/>
      <c r="KZD17" s="14"/>
      <c r="KZE17" s="14"/>
      <c r="KZF17" s="14"/>
      <c r="KZG17" s="14"/>
      <c r="KZH17" s="14"/>
      <c r="KZI17" s="14"/>
      <c r="KZJ17" s="14"/>
      <c r="KZK17" s="14"/>
      <c r="KZL17" s="14"/>
      <c r="KZM17" s="14"/>
      <c r="KZN17" s="14"/>
      <c r="KZO17" s="14"/>
      <c r="KZP17" s="14"/>
      <c r="KZQ17" s="14"/>
      <c r="KZR17" s="14"/>
      <c r="KZS17" s="14"/>
      <c r="KZT17" s="14"/>
      <c r="KZU17" s="14"/>
      <c r="KZV17" s="14"/>
      <c r="KZW17" s="14"/>
      <c r="KZX17" s="14"/>
      <c r="KZY17" s="14"/>
      <c r="KZZ17" s="14"/>
      <c r="LAA17" s="14"/>
      <c r="LAB17" s="14"/>
      <c r="LAC17" s="14"/>
      <c r="LAD17" s="14"/>
      <c r="LAE17" s="14"/>
      <c r="LAF17" s="14"/>
      <c r="LAG17" s="14"/>
      <c r="LAH17" s="14"/>
      <c r="LAI17" s="14"/>
      <c r="LAJ17" s="14"/>
      <c r="LAK17" s="14"/>
      <c r="LAL17" s="14"/>
      <c r="LAM17" s="14"/>
      <c r="LAN17" s="14"/>
      <c r="LAO17" s="14"/>
      <c r="LAP17" s="14"/>
      <c r="LAQ17" s="14"/>
      <c r="LAR17" s="14"/>
      <c r="LAS17" s="14"/>
      <c r="LAT17" s="14"/>
      <c r="LAU17" s="14"/>
      <c r="LAV17" s="14"/>
      <c r="LAW17" s="14"/>
      <c r="LAX17" s="14"/>
      <c r="LAY17" s="14"/>
      <c r="LAZ17" s="14"/>
      <c r="LBA17" s="14"/>
      <c r="LBB17" s="14"/>
      <c r="LBC17" s="14"/>
      <c r="LBD17" s="14"/>
      <c r="LBE17" s="14"/>
      <c r="LBF17" s="14"/>
      <c r="LBG17" s="14"/>
      <c r="LBH17" s="14"/>
      <c r="LBI17" s="14"/>
      <c r="LBJ17" s="14"/>
      <c r="LBK17" s="14"/>
      <c r="LBL17" s="14"/>
      <c r="LBM17" s="14"/>
      <c r="LBN17" s="14"/>
      <c r="LBO17" s="14"/>
      <c r="LBP17" s="14"/>
      <c r="LBQ17" s="14"/>
      <c r="LBR17" s="14"/>
      <c r="LBS17" s="14"/>
      <c r="LBT17" s="14"/>
      <c r="LBU17" s="14"/>
      <c r="LBV17" s="14"/>
      <c r="LBW17" s="14"/>
      <c r="LBX17" s="14"/>
      <c r="LBY17" s="14"/>
      <c r="LBZ17" s="14"/>
      <c r="LCA17" s="14"/>
      <c r="LCB17" s="14"/>
      <c r="LCC17" s="14"/>
      <c r="LCD17" s="14"/>
      <c r="LCE17" s="14"/>
      <c r="LCF17" s="14"/>
      <c r="LCG17" s="14"/>
      <c r="LCH17" s="14"/>
      <c r="LCI17" s="14"/>
      <c r="LCJ17" s="14"/>
      <c r="LCK17" s="14"/>
      <c r="LCL17" s="14"/>
      <c r="LCM17" s="14"/>
      <c r="LCN17" s="14"/>
      <c r="LCO17" s="14"/>
      <c r="LCP17" s="14"/>
      <c r="LCQ17" s="14"/>
      <c r="LCR17" s="14"/>
      <c r="LCS17" s="14"/>
      <c r="LCT17" s="14"/>
      <c r="LCU17" s="14"/>
      <c r="LCV17" s="14"/>
      <c r="LCW17" s="14"/>
      <c r="LCX17" s="14"/>
      <c r="LCY17" s="14"/>
      <c r="LCZ17" s="14"/>
      <c r="LDA17" s="14"/>
      <c r="LDB17" s="14"/>
      <c r="LDC17" s="14"/>
      <c r="LDD17" s="14"/>
      <c r="LDE17" s="14"/>
      <c r="LDF17" s="14"/>
      <c r="LDG17" s="14"/>
      <c r="LDH17" s="14"/>
      <c r="LDI17" s="14"/>
      <c r="LDJ17" s="14"/>
      <c r="LDK17" s="14"/>
      <c r="LDL17" s="14"/>
      <c r="LDM17" s="14"/>
      <c r="LDN17" s="14"/>
      <c r="LDO17" s="14"/>
      <c r="LDP17" s="14"/>
      <c r="LDQ17" s="14"/>
      <c r="LDR17" s="14"/>
      <c r="LDS17" s="14"/>
      <c r="LDT17" s="14"/>
      <c r="LDU17" s="14"/>
      <c r="LDV17" s="14"/>
      <c r="LDW17" s="14"/>
      <c r="LDX17" s="14"/>
      <c r="LDY17" s="14"/>
      <c r="LDZ17" s="14"/>
      <c r="LEA17" s="14"/>
      <c r="LEB17" s="14"/>
      <c r="LEC17" s="14"/>
      <c r="LED17" s="14"/>
      <c r="LEE17" s="14"/>
      <c r="LEF17" s="14"/>
      <c r="LEG17" s="14"/>
      <c r="LEH17" s="14"/>
      <c r="LEI17" s="14"/>
      <c r="LEJ17" s="14"/>
      <c r="LEK17" s="14"/>
      <c r="LEL17" s="14"/>
      <c r="LEM17" s="14"/>
      <c r="LEN17" s="14"/>
      <c r="LEO17" s="14"/>
      <c r="LEP17" s="14"/>
      <c r="LEQ17" s="14"/>
      <c r="LER17" s="14"/>
      <c r="LES17" s="14"/>
      <c r="LET17" s="14"/>
      <c r="LEU17" s="14"/>
      <c r="LEV17" s="14"/>
      <c r="LEW17" s="14"/>
      <c r="LEX17" s="14"/>
      <c r="LEY17" s="14"/>
      <c r="LEZ17" s="14"/>
      <c r="LFA17" s="14"/>
      <c r="LFB17" s="14"/>
      <c r="LFC17" s="14"/>
      <c r="LFD17" s="14"/>
      <c r="LFE17" s="14"/>
      <c r="LFF17" s="14"/>
      <c r="LFG17" s="14"/>
      <c r="LFH17" s="14"/>
      <c r="LFI17" s="14"/>
      <c r="LFJ17" s="14"/>
      <c r="LFK17" s="14"/>
      <c r="LFL17" s="14"/>
      <c r="LFM17" s="14"/>
      <c r="LFN17" s="14"/>
      <c r="LFO17" s="14"/>
      <c r="LFP17" s="14"/>
      <c r="LFQ17" s="14"/>
      <c r="LFR17" s="14"/>
      <c r="LFS17" s="14"/>
      <c r="LFT17" s="14"/>
      <c r="LFU17" s="14"/>
      <c r="LFV17" s="14"/>
      <c r="LFW17" s="14"/>
      <c r="LFX17" s="14"/>
      <c r="LFY17" s="14"/>
      <c r="LFZ17" s="14"/>
      <c r="LGA17" s="14"/>
      <c r="LGB17" s="14"/>
      <c r="LGC17" s="14"/>
      <c r="LGD17" s="14"/>
      <c r="LGE17" s="14"/>
      <c r="LGF17" s="14"/>
      <c r="LGG17" s="14"/>
      <c r="LGH17" s="14"/>
      <c r="LGI17" s="14"/>
      <c r="LGJ17" s="14"/>
      <c r="LGK17" s="14"/>
      <c r="LGL17" s="14"/>
      <c r="LGM17" s="14"/>
      <c r="LGN17" s="14"/>
      <c r="LGO17" s="14"/>
      <c r="LGP17" s="14"/>
      <c r="LGQ17" s="14"/>
      <c r="LGR17" s="14"/>
      <c r="LGS17" s="14"/>
      <c r="LGT17" s="14"/>
      <c r="LGU17" s="14"/>
      <c r="LGV17" s="14"/>
      <c r="LGW17" s="14"/>
      <c r="LGX17" s="14"/>
      <c r="LGY17" s="14"/>
      <c r="LGZ17" s="14"/>
      <c r="LHA17" s="14"/>
      <c r="LHB17" s="14"/>
      <c r="LHC17" s="14"/>
      <c r="LHD17" s="14"/>
      <c r="LHE17" s="14"/>
      <c r="LHF17" s="14"/>
      <c r="LHG17" s="14"/>
      <c r="LHH17" s="14"/>
      <c r="LHI17" s="14"/>
      <c r="LHJ17" s="14"/>
      <c r="LHK17" s="14"/>
      <c r="LHL17" s="14"/>
      <c r="LHM17" s="14"/>
      <c r="LHN17" s="14"/>
      <c r="LHO17" s="14"/>
      <c r="LHP17" s="14"/>
      <c r="LHQ17" s="14"/>
      <c r="LHR17" s="14"/>
      <c r="LHS17" s="14"/>
      <c r="LHT17" s="14"/>
      <c r="LHU17" s="14"/>
      <c r="LHV17" s="14"/>
      <c r="LHW17" s="14"/>
      <c r="LHX17" s="14"/>
      <c r="LHY17" s="14"/>
      <c r="LHZ17" s="14"/>
      <c r="LIA17" s="14"/>
      <c r="LIB17" s="14"/>
      <c r="LIC17" s="14"/>
      <c r="LID17" s="14"/>
      <c r="LIE17" s="14"/>
      <c r="LIF17" s="14"/>
      <c r="LIG17" s="14"/>
      <c r="LIH17" s="14"/>
      <c r="LII17" s="14"/>
      <c r="LIJ17" s="14"/>
      <c r="LIK17" s="14"/>
      <c r="LIL17" s="14"/>
      <c r="LIM17" s="14"/>
      <c r="LIN17" s="14"/>
      <c r="LIO17" s="14"/>
      <c r="LIP17" s="14"/>
      <c r="LIQ17" s="14"/>
      <c r="LIR17" s="14"/>
      <c r="LIS17" s="14"/>
      <c r="LIT17" s="14"/>
      <c r="LIU17" s="14"/>
      <c r="LIV17" s="14"/>
      <c r="LIW17" s="14"/>
      <c r="LIX17" s="14"/>
      <c r="LIY17" s="14"/>
      <c r="LIZ17" s="14"/>
      <c r="LJA17" s="14"/>
      <c r="LJB17" s="14"/>
      <c r="LJC17" s="14"/>
      <c r="LJD17" s="14"/>
      <c r="LJE17" s="14"/>
      <c r="LJF17" s="14"/>
      <c r="LJG17" s="14"/>
      <c r="LJH17" s="14"/>
      <c r="LJI17" s="14"/>
      <c r="LJJ17" s="14"/>
      <c r="LJK17" s="14"/>
      <c r="LJL17" s="14"/>
      <c r="LJM17" s="14"/>
      <c r="LJN17" s="14"/>
      <c r="LJO17" s="14"/>
      <c r="LJP17" s="14"/>
      <c r="LJQ17" s="14"/>
      <c r="LJR17" s="14"/>
      <c r="LJS17" s="14"/>
      <c r="LJT17" s="14"/>
      <c r="LJU17" s="14"/>
      <c r="LJV17" s="14"/>
      <c r="LJW17" s="14"/>
      <c r="LJX17" s="14"/>
      <c r="LJY17" s="14"/>
      <c r="LJZ17" s="14"/>
      <c r="LKA17" s="14"/>
      <c r="LKB17" s="14"/>
      <c r="LKC17" s="14"/>
      <c r="LKD17" s="14"/>
      <c r="LKE17" s="14"/>
      <c r="LKF17" s="14"/>
      <c r="LKG17" s="14"/>
      <c r="LKH17" s="14"/>
      <c r="LKI17" s="14"/>
      <c r="LKJ17" s="14"/>
      <c r="LKK17" s="14"/>
      <c r="LKL17" s="14"/>
      <c r="LKM17" s="14"/>
      <c r="LKN17" s="14"/>
      <c r="LKO17" s="14"/>
      <c r="LKP17" s="14"/>
      <c r="LKQ17" s="14"/>
      <c r="LKR17" s="14"/>
      <c r="LKS17" s="14"/>
      <c r="LKT17" s="14"/>
      <c r="LKU17" s="14"/>
      <c r="LKV17" s="14"/>
      <c r="LKW17" s="14"/>
      <c r="LKX17" s="14"/>
      <c r="LKY17" s="14"/>
      <c r="LKZ17" s="14"/>
      <c r="LLA17" s="14"/>
      <c r="LLB17" s="14"/>
      <c r="LLC17" s="14"/>
      <c r="LLD17" s="14"/>
      <c r="LLE17" s="14"/>
      <c r="LLF17" s="14"/>
      <c r="LLG17" s="14"/>
      <c r="LLH17" s="14"/>
      <c r="LLI17" s="14"/>
      <c r="LLJ17" s="14"/>
      <c r="LLK17" s="14"/>
      <c r="LLL17" s="14"/>
      <c r="LLM17" s="14"/>
      <c r="LLN17" s="14"/>
      <c r="LLO17" s="14"/>
      <c r="LLP17" s="14"/>
      <c r="LLQ17" s="14"/>
      <c r="LLR17" s="14"/>
      <c r="LLS17" s="14"/>
      <c r="LLT17" s="14"/>
      <c r="LLU17" s="14"/>
      <c r="LLV17" s="14"/>
      <c r="LLW17" s="14"/>
      <c r="LLX17" s="14"/>
      <c r="LLY17" s="14"/>
      <c r="LLZ17" s="14"/>
      <c r="LMA17" s="14"/>
      <c r="LMB17" s="14"/>
      <c r="LMC17" s="14"/>
      <c r="LMD17" s="14"/>
      <c r="LME17" s="14"/>
      <c r="LMF17" s="14"/>
      <c r="LMG17" s="14"/>
      <c r="LMH17" s="14"/>
      <c r="LMI17" s="14"/>
      <c r="LMJ17" s="14"/>
      <c r="LMK17" s="14"/>
      <c r="LML17" s="14"/>
      <c r="LMM17" s="14"/>
      <c r="LMN17" s="14"/>
      <c r="LMO17" s="14"/>
      <c r="LMP17" s="14"/>
      <c r="LMQ17" s="14"/>
      <c r="LMR17" s="14"/>
      <c r="LMS17" s="14"/>
      <c r="LMT17" s="14"/>
      <c r="LMU17" s="14"/>
      <c r="LMV17" s="14"/>
      <c r="LMW17" s="14"/>
      <c r="LMX17" s="14"/>
      <c r="LMY17" s="14"/>
      <c r="LMZ17" s="14"/>
      <c r="LNA17" s="14"/>
      <c r="LNB17" s="14"/>
      <c r="LNC17" s="14"/>
      <c r="LND17" s="14"/>
      <c r="LNE17" s="14"/>
      <c r="LNF17" s="14"/>
      <c r="LNG17" s="14"/>
      <c r="LNH17" s="14"/>
      <c r="LNI17" s="14"/>
      <c r="LNJ17" s="14"/>
      <c r="LNK17" s="14"/>
      <c r="LNL17" s="14"/>
      <c r="LNM17" s="14"/>
      <c r="LNN17" s="14"/>
      <c r="LNO17" s="14"/>
      <c r="LNP17" s="14"/>
      <c r="LNQ17" s="14"/>
      <c r="LNR17" s="14"/>
      <c r="LNS17" s="14"/>
      <c r="LNT17" s="14"/>
      <c r="LNU17" s="14"/>
      <c r="LNV17" s="14"/>
      <c r="LNW17" s="14"/>
      <c r="LNX17" s="14"/>
      <c r="LNY17" s="14"/>
      <c r="LNZ17" s="14"/>
      <c r="LOA17" s="14"/>
      <c r="LOB17" s="14"/>
      <c r="LOC17" s="14"/>
      <c r="LOD17" s="14"/>
      <c r="LOE17" s="14"/>
      <c r="LOF17" s="14"/>
      <c r="LOG17" s="14"/>
      <c r="LOH17" s="14"/>
      <c r="LOI17" s="14"/>
      <c r="LOJ17" s="14"/>
      <c r="LOK17" s="14"/>
      <c r="LOL17" s="14"/>
      <c r="LOM17" s="14"/>
      <c r="LON17" s="14"/>
      <c r="LOO17" s="14"/>
      <c r="LOP17" s="14"/>
      <c r="LOQ17" s="14"/>
      <c r="LOR17" s="14"/>
      <c r="LOS17" s="14"/>
      <c r="LOT17" s="14"/>
      <c r="LOU17" s="14"/>
      <c r="LOV17" s="14"/>
      <c r="LOW17" s="14"/>
      <c r="LOX17" s="14"/>
      <c r="LOY17" s="14"/>
      <c r="LOZ17" s="14"/>
      <c r="LPA17" s="14"/>
      <c r="LPB17" s="14"/>
      <c r="LPC17" s="14"/>
      <c r="LPD17" s="14"/>
      <c r="LPE17" s="14"/>
      <c r="LPF17" s="14"/>
      <c r="LPG17" s="14"/>
      <c r="LPH17" s="14"/>
      <c r="LPI17" s="14"/>
      <c r="LPJ17" s="14"/>
      <c r="LPK17" s="14"/>
      <c r="LPL17" s="14"/>
      <c r="LPM17" s="14"/>
      <c r="LPN17" s="14"/>
      <c r="LPO17" s="14"/>
      <c r="LPP17" s="14"/>
      <c r="LPQ17" s="14"/>
      <c r="LPR17" s="14"/>
      <c r="LPS17" s="14"/>
      <c r="LPT17" s="14"/>
      <c r="LPU17" s="14"/>
      <c r="LPV17" s="14"/>
      <c r="LPW17" s="14"/>
      <c r="LPX17" s="14"/>
      <c r="LPY17" s="14"/>
      <c r="LPZ17" s="14"/>
      <c r="LQA17" s="14"/>
      <c r="LQB17" s="14"/>
      <c r="LQC17" s="14"/>
      <c r="LQD17" s="14"/>
      <c r="LQE17" s="14"/>
      <c r="LQF17" s="14"/>
      <c r="LQG17" s="14"/>
      <c r="LQH17" s="14"/>
      <c r="LQI17" s="14"/>
      <c r="LQJ17" s="14"/>
      <c r="LQK17" s="14"/>
      <c r="LQL17" s="14"/>
      <c r="LQM17" s="14"/>
      <c r="LQN17" s="14"/>
      <c r="LQO17" s="14"/>
      <c r="LQP17" s="14"/>
      <c r="LQQ17" s="14"/>
      <c r="LQR17" s="14"/>
      <c r="LQS17" s="14"/>
      <c r="LQT17" s="14"/>
      <c r="LQU17" s="14"/>
      <c r="LQV17" s="14"/>
      <c r="LQW17" s="14"/>
      <c r="LQX17" s="14"/>
      <c r="LQY17" s="14"/>
      <c r="LQZ17" s="14"/>
      <c r="LRA17" s="14"/>
      <c r="LRB17" s="14"/>
      <c r="LRC17" s="14"/>
      <c r="LRD17" s="14"/>
      <c r="LRE17" s="14"/>
      <c r="LRF17" s="14"/>
      <c r="LRG17" s="14"/>
      <c r="LRH17" s="14"/>
      <c r="LRI17" s="14"/>
      <c r="LRJ17" s="14"/>
      <c r="LRK17" s="14"/>
      <c r="LRL17" s="14"/>
      <c r="LRM17" s="14"/>
      <c r="LRN17" s="14"/>
      <c r="LRO17" s="14"/>
      <c r="LRP17" s="14"/>
      <c r="LRQ17" s="14"/>
      <c r="LRR17" s="14"/>
      <c r="LRS17" s="14"/>
      <c r="LRT17" s="14"/>
      <c r="LRU17" s="14"/>
      <c r="LRV17" s="14"/>
      <c r="LRW17" s="14"/>
      <c r="LRX17" s="14"/>
      <c r="LRY17" s="14"/>
      <c r="LRZ17" s="14"/>
      <c r="LSA17" s="14"/>
      <c r="LSB17" s="14"/>
      <c r="LSC17" s="14"/>
      <c r="LSD17" s="14"/>
      <c r="LSE17" s="14"/>
      <c r="LSF17" s="14"/>
      <c r="LSG17" s="14"/>
      <c r="LSH17" s="14"/>
      <c r="LSI17" s="14"/>
      <c r="LSJ17" s="14"/>
      <c r="LSK17" s="14"/>
      <c r="LSL17" s="14"/>
      <c r="LSM17" s="14"/>
      <c r="LSN17" s="14"/>
      <c r="LSO17" s="14"/>
      <c r="LSP17" s="14"/>
      <c r="LSQ17" s="14"/>
      <c r="LSR17" s="14"/>
      <c r="LSS17" s="14"/>
      <c r="LST17" s="14"/>
      <c r="LSU17" s="14"/>
      <c r="LSV17" s="14"/>
      <c r="LSW17" s="14"/>
      <c r="LSX17" s="14"/>
      <c r="LSY17" s="14"/>
      <c r="LSZ17" s="14"/>
      <c r="LTA17" s="14"/>
      <c r="LTB17" s="14"/>
      <c r="LTC17" s="14"/>
      <c r="LTD17" s="14"/>
      <c r="LTE17" s="14"/>
      <c r="LTF17" s="14"/>
      <c r="LTG17" s="14"/>
      <c r="LTH17" s="14"/>
      <c r="LTI17" s="14"/>
      <c r="LTJ17" s="14"/>
      <c r="LTK17" s="14"/>
      <c r="LTL17" s="14"/>
      <c r="LTM17" s="14"/>
      <c r="LTN17" s="14"/>
      <c r="LTO17" s="14"/>
      <c r="LTP17" s="14"/>
      <c r="LTQ17" s="14"/>
      <c r="LTR17" s="14"/>
      <c r="LTS17" s="14"/>
      <c r="LTT17" s="14"/>
      <c r="LTU17" s="14"/>
      <c r="LTV17" s="14"/>
      <c r="LTW17" s="14"/>
      <c r="LTX17" s="14"/>
      <c r="LTY17" s="14"/>
      <c r="LTZ17" s="14"/>
      <c r="LUA17" s="14"/>
      <c r="LUB17" s="14"/>
      <c r="LUC17" s="14"/>
      <c r="LUD17" s="14"/>
      <c r="LUE17" s="14"/>
      <c r="LUF17" s="14"/>
      <c r="LUG17" s="14"/>
      <c r="LUH17" s="14"/>
      <c r="LUI17" s="14"/>
      <c r="LUJ17" s="14"/>
      <c r="LUK17" s="14"/>
      <c r="LUL17" s="14"/>
      <c r="LUM17" s="14"/>
      <c r="LUN17" s="14"/>
      <c r="LUO17" s="14"/>
      <c r="LUP17" s="14"/>
      <c r="LUQ17" s="14"/>
      <c r="LUR17" s="14"/>
      <c r="LUS17" s="14"/>
      <c r="LUT17" s="14"/>
      <c r="LUU17" s="14"/>
      <c r="LUV17" s="14"/>
      <c r="LUW17" s="14"/>
      <c r="LUX17" s="14"/>
      <c r="LUY17" s="14"/>
      <c r="LUZ17" s="14"/>
      <c r="LVA17" s="14"/>
      <c r="LVB17" s="14"/>
      <c r="LVC17" s="14"/>
      <c r="LVD17" s="14"/>
      <c r="LVE17" s="14"/>
      <c r="LVF17" s="14"/>
      <c r="LVG17" s="14"/>
      <c r="LVH17" s="14"/>
      <c r="LVI17" s="14"/>
      <c r="LVJ17" s="14"/>
      <c r="LVK17" s="14"/>
      <c r="LVL17" s="14"/>
      <c r="LVM17" s="14"/>
      <c r="LVN17" s="14"/>
      <c r="LVO17" s="14"/>
      <c r="LVP17" s="14"/>
      <c r="LVQ17" s="14"/>
      <c r="LVR17" s="14"/>
      <c r="LVS17" s="14"/>
      <c r="LVT17" s="14"/>
      <c r="LVU17" s="14"/>
      <c r="LVV17" s="14"/>
      <c r="LVW17" s="14"/>
      <c r="LVX17" s="14"/>
      <c r="LVY17" s="14"/>
      <c r="LVZ17" s="14"/>
      <c r="LWA17" s="14"/>
      <c r="LWB17" s="14"/>
      <c r="LWC17" s="14"/>
      <c r="LWD17" s="14"/>
      <c r="LWE17" s="14"/>
      <c r="LWF17" s="14"/>
      <c r="LWG17" s="14"/>
      <c r="LWH17" s="14"/>
      <c r="LWI17" s="14"/>
      <c r="LWJ17" s="14"/>
      <c r="LWK17" s="14"/>
      <c r="LWL17" s="14"/>
      <c r="LWM17" s="14"/>
      <c r="LWN17" s="14"/>
      <c r="LWO17" s="14"/>
      <c r="LWP17" s="14"/>
      <c r="LWQ17" s="14"/>
      <c r="LWR17" s="14"/>
      <c r="LWS17" s="14"/>
      <c r="LWT17" s="14"/>
      <c r="LWU17" s="14"/>
      <c r="LWV17" s="14"/>
      <c r="LWW17" s="14"/>
      <c r="LWX17" s="14"/>
      <c r="LWY17" s="14"/>
      <c r="LWZ17" s="14"/>
      <c r="LXA17" s="14"/>
      <c r="LXB17" s="14"/>
      <c r="LXC17" s="14"/>
      <c r="LXD17" s="14"/>
      <c r="LXE17" s="14"/>
      <c r="LXF17" s="14"/>
      <c r="LXG17" s="14"/>
      <c r="LXH17" s="14"/>
      <c r="LXI17" s="14"/>
      <c r="LXJ17" s="14"/>
      <c r="LXK17" s="14"/>
      <c r="LXL17" s="14"/>
      <c r="LXM17" s="14"/>
      <c r="LXN17" s="14"/>
      <c r="LXO17" s="14"/>
      <c r="LXP17" s="14"/>
      <c r="LXQ17" s="14"/>
      <c r="LXR17" s="14"/>
      <c r="LXS17" s="14"/>
      <c r="LXT17" s="14"/>
      <c r="LXU17" s="14"/>
      <c r="LXV17" s="14"/>
      <c r="LXW17" s="14"/>
      <c r="LXX17" s="14"/>
      <c r="LXY17" s="14"/>
      <c r="LXZ17" s="14"/>
      <c r="LYA17" s="14"/>
      <c r="LYB17" s="14"/>
      <c r="LYC17" s="14"/>
      <c r="LYD17" s="14"/>
      <c r="LYE17" s="14"/>
      <c r="LYF17" s="14"/>
      <c r="LYG17" s="14"/>
      <c r="LYH17" s="14"/>
      <c r="LYI17" s="14"/>
      <c r="LYJ17" s="14"/>
      <c r="LYK17" s="14"/>
      <c r="LYL17" s="14"/>
      <c r="LYM17" s="14"/>
      <c r="LYN17" s="14"/>
      <c r="LYO17" s="14"/>
      <c r="LYP17" s="14"/>
      <c r="LYQ17" s="14"/>
      <c r="LYR17" s="14"/>
      <c r="LYS17" s="14"/>
      <c r="LYT17" s="14"/>
      <c r="LYU17" s="14"/>
      <c r="LYV17" s="14"/>
      <c r="LYW17" s="14"/>
      <c r="LYX17" s="14"/>
      <c r="LYY17" s="14"/>
      <c r="LYZ17" s="14"/>
      <c r="LZA17" s="14"/>
      <c r="LZB17" s="14"/>
      <c r="LZC17" s="14"/>
      <c r="LZD17" s="14"/>
      <c r="LZE17" s="14"/>
      <c r="LZF17" s="14"/>
      <c r="LZG17" s="14"/>
      <c r="LZH17" s="14"/>
      <c r="LZI17" s="14"/>
      <c r="LZJ17" s="14"/>
      <c r="LZK17" s="14"/>
      <c r="LZL17" s="14"/>
      <c r="LZM17" s="14"/>
      <c r="LZN17" s="14"/>
      <c r="LZO17" s="14"/>
      <c r="LZP17" s="14"/>
      <c r="LZQ17" s="14"/>
      <c r="LZR17" s="14"/>
      <c r="LZS17" s="14"/>
      <c r="LZT17" s="14"/>
      <c r="LZU17" s="14"/>
      <c r="LZV17" s="14"/>
      <c r="LZW17" s="14"/>
      <c r="LZX17" s="14"/>
      <c r="LZY17" s="14"/>
      <c r="LZZ17" s="14"/>
      <c r="MAA17" s="14"/>
      <c r="MAB17" s="14"/>
      <c r="MAC17" s="14"/>
      <c r="MAD17" s="14"/>
      <c r="MAE17" s="14"/>
      <c r="MAF17" s="14"/>
      <c r="MAG17" s="14"/>
      <c r="MAH17" s="14"/>
      <c r="MAI17" s="14"/>
      <c r="MAJ17" s="14"/>
      <c r="MAK17" s="14"/>
      <c r="MAL17" s="14"/>
      <c r="MAM17" s="14"/>
      <c r="MAN17" s="14"/>
      <c r="MAO17" s="14"/>
      <c r="MAP17" s="14"/>
      <c r="MAQ17" s="14"/>
      <c r="MAR17" s="14"/>
      <c r="MAS17" s="14"/>
      <c r="MAT17" s="14"/>
      <c r="MAU17" s="14"/>
      <c r="MAV17" s="14"/>
      <c r="MAW17" s="14"/>
      <c r="MAX17" s="14"/>
      <c r="MAY17" s="14"/>
      <c r="MAZ17" s="14"/>
      <c r="MBA17" s="14"/>
      <c r="MBB17" s="14"/>
      <c r="MBC17" s="14"/>
      <c r="MBD17" s="14"/>
      <c r="MBE17" s="14"/>
      <c r="MBF17" s="14"/>
      <c r="MBG17" s="14"/>
      <c r="MBH17" s="14"/>
      <c r="MBI17" s="14"/>
      <c r="MBJ17" s="14"/>
      <c r="MBK17" s="14"/>
      <c r="MBL17" s="14"/>
      <c r="MBM17" s="14"/>
      <c r="MBN17" s="14"/>
      <c r="MBO17" s="14"/>
      <c r="MBP17" s="14"/>
      <c r="MBQ17" s="14"/>
      <c r="MBR17" s="14"/>
      <c r="MBS17" s="14"/>
      <c r="MBT17" s="14"/>
      <c r="MBU17" s="14"/>
      <c r="MBV17" s="14"/>
      <c r="MBW17" s="14"/>
      <c r="MBX17" s="14"/>
      <c r="MBY17" s="14"/>
      <c r="MBZ17" s="14"/>
      <c r="MCA17" s="14"/>
      <c r="MCB17" s="14"/>
      <c r="MCC17" s="14"/>
      <c r="MCD17" s="14"/>
      <c r="MCE17" s="14"/>
      <c r="MCF17" s="14"/>
      <c r="MCG17" s="14"/>
      <c r="MCH17" s="14"/>
      <c r="MCI17" s="14"/>
      <c r="MCJ17" s="14"/>
      <c r="MCK17" s="14"/>
      <c r="MCL17" s="14"/>
      <c r="MCM17" s="14"/>
      <c r="MCN17" s="14"/>
      <c r="MCO17" s="14"/>
      <c r="MCP17" s="14"/>
      <c r="MCQ17" s="14"/>
      <c r="MCR17" s="14"/>
      <c r="MCS17" s="14"/>
      <c r="MCT17" s="14"/>
      <c r="MCU17" s="14"/>
      <c r="MCV17" s="14"/>
      <c r="MCW17" s="14"/>
      <c r="MCX17" s="14"/>
      <c r="MCY17" s="14"/>
      <c r="MCZ17" s="14"/>
      <c r="MDA17" s="14"/>
      <c r="MDB17" s="14"/>
      <c r="MDC17" s="14"/>
      <c r="MDD17" s="14"/>
      <c r="MDE17" s="14"/>
      <c r="MDF17" s="14"/>
      <c r="MDG17" s="14"/>
      <c r="MDH17" s="14"/>
      <c r="MDI17" s="14"/>
      <c r="MDJ17" s="14"/>
      <c r="MDK17" s="14"/>
      <c r="MDL17" s="14"/>
      <c r="MDM17" s="14"/>
      <c r="MDN17" s="14"/>
      <c r="MDO17" s="14"/>
      <c r="MDP17" s="14"/>
      <c r="MDQ17" s="14"/>
      <c r="MDR17" s="14"/>
      <c r="MDS17" s="14"/>
      <c r="MDT17" s="14"/>
      <c r="MDU17" s="14"/>
      <c r="MDV17" s="14"/>
      <c r="MDW17" s="14"/>
      <c r="MDX17" s="14"/>
      <c r="MDY17" s="14"/>
      <c r="MDZ17" s="14"/>
      <c r="MEA17" s="14"/>
      <c r="MEB17" s="14"/>
      <c r="MEC17" s="14"/>
      <c r="MED17" s="14"/>
      <c r="MEE17" s="14"/>
      <c r="MEF17" s="14"/>
      <c r="MEG17" s="14"/>
      <c r="MEH17" s="14"/>
      <c r="MEI17" s="14"/>
      <c r="MEJ17" s="14"/>
      <c r="MEK17" s="14"/>
      <c r="MEL17" s="14"/>
      <c r="MEM17" s="14"/>
      <c r="MEN17" s="14"/>
      <c r="MEO17" s="14"/>
      <c r="MEP17" s="14"/>
      <c r="MEQ17" s="14"/>
      <c r="MER17" s="14"/>
      <c r="MES17" s="14"/>
      <c r="MET17" s="14"/>
      <c r="MEU17" s="14"/>
      <c r="MEV17" s="14"/>
      <c r="MEW17" s="14"/>
      <c r="MEX17" s="14"/>
      <c r="MEY17" s="14"/>
      <c r="MEZ17" s="14"/>
      <c r="MFA17" s="14"/>
      <c r="MFB17" s="14"/>
      <c r="MFC17" s="14"/>
      <c r="MFD17" s="14"/>
      <c r="MFE17" s="14"/>
      <c r="MFF17" s="14"/>
      <c r="MFG17" s="14"/>
      <c r="MFH17" s="14"/>
      <c r="MFI17" s="14"/>
      <c r="MFJ17" s="14"/>
      <c r="MFK17" s="14"/>
      <c r="MFL17" s="14"/>
      <c r="MFM17" s="14"/>
      <c r="MFN17" s="14"/>
      <c r="MFO17" s="14"/>
      <c r="MFP17" s="14"/>
      <c r="MFQ17" s="14"/>
      <c r="MFR17" s="14"/>
      <c r="MFS17" s="14"/>
      <c r="MFT17" s="14"/>
      <c r="MFU17" s="14"/>
      <c r="MFV17" s="14"/>
      <c r="MFW17" s="14"/>
      <c r="MFX17" s="14"/>
      <c r="MFY17" s="14"/>
      <c r="MFZ17" s="14"/>
      <c r="MGA17" s="14"/>
      <c r="MGB17" s="14"/>
      <c r="MGC17" s="14"/>
      <c r="MGD17" s="14"/>
      <c r="MGE17" s="14"/>
      <c r="MGF17" s="14"/>
      <c r="MGG17" s="14"/>
      <c r="MGH17" s="14"/>
      <c r="MGI17" s="14"/>
      <c r="MGJ17" s="14"/>
      <c r="MGK17" s="14"/>
      <c r="MGL17" s="14"/>
      <c r="MGM17" s="14"/>
      <c r="MGN17" s="14"/>
      <c r="MGO17" s="14"/>
      <c r="MGP17" s="14"/>
      <c r="MGQ17" s="14"/>
      <c r="MGR17" s="14"/>
      <c r="MGS17" s="14"/>
      <c r="MGT17" s="14"/>
      <c r="MGU17" s="14"/>
      <c r="MGV17" s="14"/>
      <c r="MGW17" s="14"/>
      <c r="MGX17" s="14"/>
      <c r="MGY17" s="14"/>
      <c r="MGZ17" s="14"/>
      <c r="MHA17" s="14"/>
      <c r="MHB17" s="14"/>
      <c r="MHC17" s="14"/>
      <c r="MHD17" s="14"/>
      <c r="MHE17" s="14"/>
      <c r="MHF17" s="14"/>
      <c r="MHG17" s="14"/>
      <c r="MHH17" s="14"/>
      <c r="MHI17" s="14"/>
      <c r="MHJ17" s="14"/>
      <c r="MHK17" s="14"/>
      <c r="MHL17" s="14"/>
      <c r="MHM17" s="14"/>
      <c r="MHN17" s="14"/>
      <c r="MHO17" s="14"/>
      <c r="MHP17" s="14"/>
      <c r="MHQ17" s="14"/>
      <c r="MHR17" s="14"/>
      <c r="MHS17" s="14"/>
      <c r="MHT17" s="14"/>
      <c r="MHU17" s="14"/>
      <c r="MHV17" s="14"/>
      <c r="MHW17" s="14"/>
      <c r="MHX17" s="14"/>
      <c r="MHY17" s="14"/>
      <c r="MHZ17" s="14"/>
      <c r="MIA17" s="14"/>
      <c r="MIB17" s="14"/>
      <c r="MIC17" s="14"/>
      <c r="MID17" s="14"/>
      <c r="MIE17" s="14"/>
      <c r="MIF17" s="14"/>
      <c r="MIG17" s="14"/>
      <c r="MIH17" s="14"/>
      <c r="MII17" s="14"/>
      <c r="MIJ17" s="14"/>
      <c r="MIK17" s="14"/>
      <c r="MIL17" s="14"/>
      <c r="MIM17" s="14"/>
      <c r="MIN17" s="14"/>
      <c r="MIO17" s="14"/>
      <c r="MIP17" s="14"/>
      <c r="MIQ17" s="14"/>
      <c r="MIR17" s="14"/>
      <c r="MIS17" s="14"/>
      <c r="MIT17" s="14"/>
      <c r="MIU17" s="14"/>
      <c r="MIV17" s="14"/>
      <c r="MIW17" s="14"/>
      <c r="MIX17" s="14"/>
      <c r="MIY17" s="14"/>
      <c r="MIZ17" s="14"/>
      <c r="MJA17" s="14"/>
      <c r="MJB17" s="14"/>
      <c r="MJC17" s="14"/>
      <c r="MJD17" s="14"/>
      <c r="MJE17" s="14"/>
      <c r="MJF17" s="14"/>
      <c r="MJG17" s="14"/>
      <c r="MJH17" s="14"/>
      <c r="MJI17" s="14"/>
      <c r="MJJ17" s="14"/>
      <c r="MJK17" s="14"/>
      <c r="MJL17" s="14"/>
      <c r="MJM17" s="14"/>
      <c r="MJN17" s="14"/>
      <c r="MJO17" s="14"/>
      <c r="MJP17" s="14"/>
      <c r="MJQ17" s="14"/>
      <c r="MJR17" s="14"/>
      <c r="MJS17" s="14"/>
      <c r="MJT17" s="14"/>
      <c r="MJU17" s="14"/>
      <c r="MJV17" s="14"/>
      <c r="MJW17" s="14"/>
      <c r="MJX17" s="14"/>
      <c r="MJY17" s="14"/>
      <c r="MJZ17" s="14"/>
      <c r="MKA17" s="14"/>
      <c r="MKB17" s="14"/>
      <c r="MKC17" s="14"/>
      <c r="MKD17" s="14"/>
      <c r="MKE17" s="14"/>
      <c r="MKF17" s="14"/>
      <c r="MKG17" s="14"/>
      <c r="MKH17" s="14"/>
      <c r="MKI17" s="14"/>
      <c r="MKJ17" s="14"/>
      <c r="MKK17" s="14"/>
      <c r="MKL17" s="14"/>
      <c r="MKM17" s="14"/>
      <c r="MKN17" s="14"/>
      <c r="MKO17" s="14"/>
      <c r="MKP17" s="14"/>
      <c r="MKQ17" s="14"/>
      <c r="MKR17" s="14"/>
      <c r="MKS17" s="14"/>
      <c r="MKT17" s="14"/>
      <c r="MKU17" s="14"/>
      <c r="MKV17" s="14"/>
      <c r="MKW17" s="14"/>
      <c r="MKX17" s="14"/>
      <c r="MKY17" s="14"/>
      <c r="MKZ17" s="14"/>
      <c r="MLA17" s="14"/>
      <c r="MLB17" s="14"/>
      <c r="MLC17" s="14"/>
      <c r="MLD17" s="14"/>
      <c r="MLE17" s="14"/>
      <c r="MLF17" s="14"/>
      <c r="MLG17" s="14"/>
      <c r="MLH17" s="14"/>
      <c r="MLI17" s="14"/>
      <c r="MLJ17" s="14"/>
      <c r="MLK17" s="14"/>
      <c r="MLL17" s="14"/>
      <c r="MLM17" s="14"/>
      <c r="MLN17" s="14"/>
      <c r="MLO17" s="14"/>
      <c r="MLP17" s="14"/>
      <c r="MLQ17" s="14"/>
      <c r="MLR17" s="14"/>
      <c r="MLS17" s="14"/>
      <c r="MLT17" s="14"/>
      <c r="MLU17" s="14"/>
      <c r="MLV17" s="14"/>
      <c r="MLW17" s="14"/>
      <c r="MLX17" s="14"/>
      <c r="MLY17" s="14"/>
      <c r="MLZ17" s="14"/>
      <c r="MMA17" s="14"/>
      <c r="MMB17" s="14"/>
      <c r="MMC17" s="14"/>
      <c r="MMD17" s="14"/>
      <c r="MME17" s="14"/>
      <c r="MMF17" s="14"/>
      <c r="MMG17" s="14"/>
      <c r="MMH17" s="14"/>
      <c r="MMI17" s="14"/>
      <c r="MMJ17" s="14"/>
      <c r="MMK17" s="14"/>
      <c r="MML17" s="14"/>
      <c r="MMM17" s="14"/>
      <c r="MMN17" s="14"/>
      <c r="MMO17" s="14"/>
      <c r="MMP17" s="14"/>
      <c r="MMQ17" s="14"/>
      <c r="MMR17" s="14"/>
      <c r="MMS17" s="14"/>
      <c r="MMT17" s="14"/>
      <c r="MMU17" s="14"/>
      <c r="MMV17" s="14"/>
      <c r="MMW17" s="14"/>
      <c r="MMX17" s="14"/>
      <c r="MMY17" s="14"/>
      <c r="MMZ17" s="14"/>
      <c r="MNA17" s="14"/>
      <c r="MNB17" s="14"/>
      <c r="MNC17" s="14"/>
      <c r="MND17" s="14"/>
      <c r="MNE17" s="14"/>
      <c r="MNF17" s="14"/>
      <c r="MNG17" s="14"/>
      <c r="MNH17" s="14"/>
      <c r="MNI17" s="14"/>
      <c r="MNJ17" s="14"/>
      <c r="MNK17" s="14"/>
      <c r="MNL17" s="14"/>
      <c r="MNM17" s="14"/>
      <c r="MNN17" s="14"/>
      <c r="MNO17" s="14"/>
      <c r="MNP17" s="14"/>
      <c r="MNQ17" s="14"/>
      <c r="MNR17" s="14"/>
      <c r="MNS17" s="14"/>
      <c r="MNT17" s="14"/>
      <c r="MNU17" s="14"/>
      <c r="MNV17" s="14"/>
      <c r="MNW17" s="14"/>
      <c r="MNX17" s="14"/>
      <c r="MNY17" s="14"/>
      <c r="MNZ17" s="14"/>
      <c r="MOA17" s="14"/>
      <c r="MOB17" s="14"/>
      <c r="MOC17" s="14"/>
      <c r="MOD17" s="14"/>
      <c r="MOE17" s="14"/>
      <c r="MOF17" s="14"/>
      <c r="MOG17" s="14"/>
      <c r="MOH17" s="14"/>
      <c r="MOI17" s="14"/>
      <c r="MOJ17" s="14"/>
      <c r="MOK17" s="14"/>
      <c r="MOL17" s="14"/>
      <c r="MOM17" s="14"/>
      <c r="MON17" s="14"/>
      <c r="MOO17" s="14"/>
      <c r="MOP17" s="14"/>
      <c r="MOQ17" s="14"/>
      <c r="MOR17" s="14"/>
      <c r="MOS17" s="14"/>
      <c r="MOT17" s="14"/>
      <c r="MOU17" s="14"/>
      <c r="MOV17" s="14"/>
      <c r="MOW17" s="14"/>
      <c r="MOX17" s="14"/>
      <c r="MOY17" s="14"/>
      <c r="MOZ17" s="14"/>
      <c r="MPA17" s="14"/>
      <c r="MPB17" s="14"/>
      <c r="MPC17" s="14"/>
      <c r="MPD17" s="14"/>
      <c r="MPE17" s="14"/>
      <c r="MPF17" s="14"/>
      <c r="MPG17" s="14"/>
      <c r="MPH17" s="14"/>
      <c r="MPI17" s="14"/>
      <c r="MPJ17" s="14"/>
      <c r="MPK17" s="14"/>
      <c r="MPL17" s="14"/>
      <c r="MPM17" s="14"/>
      <c r="MPN17" s="14"/>
      <c r="MPO17" s="14"/>
      <c r="MPP17" s="14"/>
      <c r="MPQ17" s="14"/>
      <c r="MPR17" s="14"/>
      <c r="MPS17" s="14"/>
      <c r="MPT17" s="14"/>
      <c r="MPU17" s="14"/>
      <c r="MPV17" s="14"/>
      <c r="MPW17" s="14"/>
      <c r="MPX17" s="14"/>
      <c r="MPY17" s="14"/>
      <c r="MPZ17" s="14"/>
      <c r="MQA17" s="14"/>
      <c r="MQB17" s="14"/>
      <c r="MQC17" s="14"/>
      <c r="MQD17" s="14"/>
      <c r="MQE17" s="14"/>
      <c r="MQF17" s="14"/>
      <c r="MQG17" s="14"/>
      <c r="MQH17" s="14"/>
      <c r="MQI17" s="14"/>
      <c r="MQJ17" s="14"/>
      <c r="MQK17" s="14"/>
      <c r="MQL17" s="14"/>
      <c r="MQM17" s="14"/>
      <c r="MQN17" s="14"/>
      <c r="MQO17" s="14"/>
      <c r="MQP17" s="14"/>
      <c r="MQQ17" s="14"/>
      <c r="MQR17" s="14"/>
      <c r="MQS17" s="14"/>
      <c r="MQT17" s="14"/>
      <c r="MQU17" s="14"/>
      <c r="MQV17" s="14"/>
      <c r="MQW17" s="14"/>
      <c r="MQX17" s="14"/>
      <c r="MQY17" s="14"/>
      <c r="MQZ17" s="14"/>
      <c r="MRA17" s="14"/>
      <c r="MRB17" s="14"/>
      <c r="MRC17" s="14"/>
      <c r="MRD17" s="14"/>
      <c r="MRE17" s="14"/>
      <c r="MRF17" s="14"/>
      <c r="MRG17" s="14"/>
      <c r="MRH17" s="14"/>
      <c r="MRI17" s="14"/>
      <c r="MRJ17" s="14"/>
      <c r="MRK17" s="14"/>
      <c r="MRL17" s="14"/>
      <c r="MRM17" s="14"/>
      <c r="MRN17" s="14"/>
      <c r="MRO17" s="14"/>
      <c r="MRP17" s="14"/>
      <c r="MRQ17" s="14"/>
      <c r="MRR17" s="14"/>
      <c r="MRS17" s="14"/>
      <c r="MRT17" s="14"/>
      <c r="MRU17" s="14"/>
      <c r="MRV17" s="14"/>
      <c r="MRW17" s="14"/>
      <c r="MRX17" s="14"/>
      <c r="MRY17" s="14"/>
      <c r="MRZ17" s="14"/>
      <c r="MSA17" s="14"/>
      <c r="MSB17" s="14"/>
      <c r="MSC17" s="14"/>
      <c r="MSD17" s="14"/>
      <c r="MSE17" s="14"/>
      <c r="MSF17" s="14"/>
      <c r="MSG17" s="14"/>
      <c r="MSH17" s="14"/>
      <c r="MSI17" s="14"/>
      <c r="MSJ17" s="14"/>
      <c r="MSK17" s="14"/>
      <c r="MSL17" s="14"/>
      <c r="MSM17" s="14"/>
      <c r="MSN17" s="14"/>
      <c r="MSO17" s="14"/>
      <c r="MSP17" s="14"/>
      <c r="MSQ17" s="14"/>
      <c r="MSR17" s="14"/>
      <c r="MSS17" s="14"/>
      <c r="MST17" s="14"/>
      <c r="MSU17" s="14"/>
      <c r="MSV17" s="14"/>
      <c r="MSW17" s="14"/>
      <c r="MSX17" s="14"/>
      <c r="MSY17" s="14"/>
      <c r="MSZ17" s="14"/>
      <c r="MTA17" s="14"/>
      <c r="MTB17" s="14"/>
      <c r="MTC17" s="14"/>
      <c r="MTD17" s="14"/>
      <c r="MTE17" s="14"/>
      <c r="MTF17" s="14"/>
      <c r="MTG17" s="14"/>
      <c r="MTH17" s="14"/>
      <c r="MTI17" s="14"/>
      <c r="MTJ17" s="14"/>
      <c r="MTK17" s="14"/>
      <c r="MTL17" s="14"/>
      <c r="MTM17" s="14"/>
      <c r="MTN17" s="14"/>
      <c r="MTO17" s="14"/>
      <c r="MTP17" s="14"/>
      <c r="MTQ17" s="14"/>
      <c r="MTR17" s="14"/>
      <c r="MTS17" s="14"/>
      <c r="MTT17" s="14"/>
      <c r="MTU17" s="14"/>
      <c r="MTV17" s="14"/>
      <c r="MTW17" s="14"/>
      <c r="MTX17" s="14"/>
      <c r="MTY17" s="14"/>
      <c r="MTZ17" s="14"/>
      <c r="MUA17" s="14"/>
      <c r="MUB17" s="14"/>
      <c r="MUC17" s="14"/>
      <c r="MUD17" s="14"/>
      <c r="MUE17" s="14"/>
      <c r="MUF17" s="14"/>
      <c r="MUG17" s="14"/>
      <c r="MUH17" s="14"/>
      <c r="MUI17" s="14"/>
      <c r="MUJ17" s="14"/>
      <c r="MUK17" s="14"/>
      <c r="MUL17" s="14"/>
      <c r="MUM17" s="14"/>
      <c r="MUN17" s="14"/>
      <c r="MUO17" s="14"/>
      <c r="MUP17" s="14"/>
      <c r="MUQ17" s="14"/>
      <c r="MUR17" s="14"/>
      <c r="MUS17" s="14"/>
      <c r="MUT17" s="14"/>
      <c r="MUU17" s="14"/>
      <c r="MUV17" s="14"/>
      <c r="MUW17" s="14"/>
      <c r="MUX17" s="14"/>
      <c r="MUY17" s="14"/>
      <c r="MUZ17" s="14"/>
      <c r="MVA17" s="14"/>
      <c r="MVB17" s="14"/>
      <c r="MVC17" s="14"/>
      <c r="MVD17" s="14"/>
      <c r="MVE17" s="14"/>
      <c r="MVF17" s="14"/>
      <c r="MVG17" s="14"/>
      <c r="MVH17" s="14"/>
      <c r="MVI17" s="14"/>
      <c r="MVJ17" s="14"/>
      <c r="MVK17" s="14"/>
      <c r="MVL17" s="14"/>
      <c r="MVM17" s="14"/>
      <c r="MVN17" s="14"/>
      <c r="MVO17" s="14"/>
      <c r="MVP17" s="14"/>
      <c r="MVQ17" s="14"/>
      <c r="MVR17" s="14"/>
      <c r="MVS17" s="14"/>
      <c r="MVT17" s="14"/>
      <c r="MVU17" s="14"/>
      <c r="MVV17" s="14"/>
      <c r="MVW17" s="14"/>
      <c r="MVX17" s="14"/>
      <c r="MVY17" s="14"/>
      <c r="MVZ17" s="14"/>
      <c r="MWA17" s="14"/>
      <c r="MWB17" s="14"/>
      <c r="MWC17" s="14"/>
      <c r="MWD17" s="14"/>
      <c r="MWE17" s="14"/>
      <c r="MWF17" s="14"/>
      <c r="MWG17" s="14"/>
      <c r="MWH17" s="14"/>
      <c r="MWI17" s="14"/>
      <c r="MWJ17" s="14"/>
      <c r="MWK17" s="14"/>
      <c r="MWL17" s="14"/>
      <c r="MWM17" s="14"/>
      <c r="MWN17" s="14"/>
      <c r="MWO17" s="14"/>
      <c r="MWP17" s="14"/>
      <c r="MWQ17" s="14"/>
      <c r="MWR17" s="14"/>
      <c r="MWS17" s="14"/>
      <c r="MWT17" s="14"/>
      <c r="MWU17" s="14"/>
      <c r="MWV17" s="14"/>
      <c r="MWW17" s="14"/>
      <c r="MWX17" s="14"/>
      <c r="MWY17" s="14"/>
      <c r="MWZ17" s="14"/>
      <c r="MXA17" s="14"/>
      <c r="MXB17" s="14"/>
      <c r="MXC17" s="14"/>
      <c r="MXD17" s="14"/>
      <c r="MXE17" s="14"/>
      <c r="MXF17" s="14"/>
      <c r="MXG17" s="14"/>
      <c r="MXH17" s="14"/>
      <c r="MXI17" s="14"/>
      <c r="MXJ17" s="14"/>
      <c r="MXK17" s="14"/>
      <c r="MXL17" s="14"/>
      <c r="MXM17" s="14"/>
      <c r="MXN17" s="14"/>
      <c r="MXO17" s="14"/>
      <c r="MXP17" s="14"/>
      <c r="MXQ17" s="14"/>
      <c r="MXR17" s="14"/>
      <c r="MXS17" s="14"/>
      <c r="MXT17" s="14"/>
      <c r="MXU17" s="14"/>
      <c r="MXV17" s="14"/>
      <c r="MXW17" s="14"/>
      <c r="MXX17" s="14"/>
      <c r="MXY17" s="14"/>
      <c r="MXZ17" s="14"/>
      <c r="MYA17" s="14"/>
      <c r="MYB17" s="14"/>
      <c r="MYC17" s="14"/>
      <c r="MYD17" s="14"/>
      <c r="MYE17" s="14"/>
      <c r="MYF17" s="14"/>
      <c r="MYG17" s="14"/>
      <c r="MYH17" s="14"/>
      <c r="MYI17" s="14"/>
      <c r="MYJ17" s="14"/>
      <c r="MYK17" s="14"/>
      <c r="MYL17" s="14"/>
      <c r="MYM17" s="14"/>
      <c r="MYN17" s="14"/>
      <c r="MYO17" s="14"/>
      <c r="MYP17" s="14"/>
      <c r="MYQ17" s="14"/>
      <c r="MYR17" s="14"/>
      <c r="MYS17" s="14"/>
      <c r="MYT17" s="14"/>
      <c r="MYU17" s="14"/>
      <c r="MYV17" s="14"/>
      <c r="MYW17" s="14"/>
      <c r="MYX17" s="14"/>
      <c r="MYY17" s="14"/>
      <c r="MYZ17" s="14"/>
      <c r="MZA17" s="14"/>
      <c r="MZB17" s="14"/>
      <c r="MZC17" s="14"/>
      <c r="MZD17" s="14"/>
      <c r="MZE17" s="14"/>
      <c r="MZF17" s="14"/>
      <c r="MZG17" s="14"/>
      <c r="MZH17" s="14"/>
      <c r="MZI17" s="14"/>
      <c r="MZJ17" s="14"/>
      <c r="MZK17" s="14"/>
      <c r="MZL17" s="14"/>
      <c r="MZM17" s="14"/>
      <c r="MZN17" s="14"/>
      <c r="MZO17" s="14"/>
      <c r="MZP17" s="14"/>
      <c r="MZQ17" s="14"/>
      <c r="MZR17" s="14"/>
      <c r="MZS17" s="14"/>
      <c r="MZT17" s="14"/>
      <c r="MZU17" s="14"/>
      <c r="MZV17" s="14"/>
      <c r="MZW17" s="14"/>
      <c r="MZX17" s="14"/>
      <c r="MZY17" s="14"/>
      <c r="MZZ17" s="14"/>
      <c r="NAA17" s="14"/>
      <c r="NAB17" s="14"/>
      <c r="NAC17" s="14"/>
      <c r="NAD17" s="14"/>
      <c r="NAE17" s="14"/>
      <c r="NAF17" s="14"/>
      <c r="NAG17" s="14"/>
      <c r="NAH17" s="14"/>
      <c r="NAI17" s="14"/>
      <c r="NAJ17" s="14"/>
      <c r="NAK17" s="14"/>
      <c r="NAL17" s="14"/>
      <c r="NAM17" s="14"/>
      <c r="NAN17" s="14"/>
      <c r="NAO17" s="14"/>
      <c r="NAP17" s="14"/>
      <c r="NAQ17" s="14"/>
      <c r="NAR17" s="14"/>
      <c r="NAS17" s="14"/>
      <c r="NAT17" s="14"/>
      <c r="NAU17" s="14"/>
      <c r="NAV17" s="14"/>
      <c r="NAW17" s="14"/>
      <c r="NAX17" s="14"/>
      <c r="NAY17" s="14"/>
      <c r="NAZ17" s="14"/>
      <c r="NBA17" s="14"/>
      <c r="NBB17" s="14"/>
      <c r="NBC17" s="14"/>
      <c r="NBD17" s="14"/>
      <c r="NBE17" s="14"/>
      <c r="NBF17" s="14"/>
      <c r="NBG17" s="14"/>
      <c r="NBH17" s="14"/>
      <c r="NBI17" s="14"/>
      <c r="NBJ17" s="14"/>
      <c r="NBK17" s="14"/>
      <c r="NBL17" s="14"/>
      <c r="NBM17" s="14"/>
      <c r="NBN17" s="14"/>
      <c r="NBO17" s="14"/>
      <c r="NBP17" s="14"/>
      <c r="NBQ17" s="14"/>
      <c r="NBR17" s="14"/>
      <c r="NBS17" s="14"/>
      <c r="NBT17" s="14"/>
      <c r="NBU17" s="14"/>
      <c r="NBV17" s="14"/>
      <c r="NBW17" s="14"/>
      <c r="NBX17" s="14"/>
      <c r="NBY17" s="14"/>
      <c r="NBZ17" s="14"/>
      <c r="NCA17" s="14"/>
      <c r="NCB17" s="14"/>
      <c r="NCC17" s="14"/>
      <c r="NCD17" s="14"/>
      <c r="NCE17" s="14"/>
      <c r="NCF17" s="14"/>
      <c r="NCG17" s="14"/>
      <c r="NCH17" s="14"/>
      <c r="NCI17" s="14"/>
      <c r="NCJ17" s="14"/>
      <c r="NCK17" s="14"/>
      <c r="NCL17" s="14"/>
      <c r="NCM17" s="14"/>
      <c r="NCN17" s="14"/>
      <c r="NCO17" s="14"/>
      <c r="NCP17" s="14"/>
      <c r="NCQ17" s="14"/>
      <c r="NCR17" s="14"/>
      <c r="NCS17" s="14"/>
      <c r="NCT17" s="14"/>
      <c r="NCU17" s="14"/>
      <c r="NCV17" s="14"/>
      <c r="NCW17" s="14"/>
      <c r="NCX17" s="14"/>
      <c r="NCY17" s="14"/>
      <c r="NCZ17" s="14"/>
      <c r="NDA17" s="14"/>
      <c r="NDB17" s="14"/>
      <c r="NDC17" s="14"/>
      <c r="NDD17" s="14"/>
      <c r="NDE17" s="14"/>
      <c r="NDF17" s="14"/>
      <c r="NDG17" s="14"/>
      <c r="NDH17" s="14"/>
      <c r="NDI17" s="14"/>
      <c r="NDJ17" s="14"/>
      <c r="NDK17" s="14"/>
      <c r="NDL17" s="14"/>
      <c r="NDM17" s="14"/>
      <c r="NDN17" s="14"/>
      <c r="NDO17" s="14"/>
      <c r="NDP17" s="14"/>
      <c r="NDQ17" s="14"/>
      <c r="NDR17" s="14"/>
      <c r="NDS17" s="14"/>
      <c r="NDT17" s="14"/>
      <c r="NDU17" s="14"/>
      <c r="NDV17" s="14"/>
      <c r="NDW17" s="14"/>
      <c r="NDX17" s="14"/>
      <c r="NDY17" s="14"/>
      <c r="NDZ17" s="14"/>
      <c r="NEA17" s="14"/>
      <c r="NEB17" s="14"/>
      <c r="NEC17" s="14"/>
      <c r="NED17" s="14"/>
      <c r="NEE17" s="14"/>
      <c r="NEF17" s="14"/>
      <c r="NEG17" s="14"/>
      <c r="NEH17" s="14"/>
      <c r="NEI17" s="14"/>
      <c r="NEJ17" s="14"/>
      <c r="NEK17" s="14"/>
      <c r="NEL17" s="14"/>
      <c r="NEM17" s="14"/>
      <c r="NEN17" s="14"/>
      <c r="NEO17" s="14"/>
      <c r="NEP17" s="14"/>
      <c r="NEQ17" s="14"/>
      <c r="NER17" s="14"/>
      <c r="NES17" s="14"/>
      <c r="NET17" s="14"/>
      <c r="NEU17" s="14"/>
      <c r="NEV17" s="14"/>
      <c r="NEW17" s="14"/>
      <c r="NEX17" s="14"/>
      <c r="NEY17" s="14"/>
      <c r="NEZ17" s="14"/>
      <c r="NFA17" s="14"/>
      <c r="NFB17" s="14"/>
      <c r="NFC17" s="14"/>
      <c r="NFD17" s="14"/>
      <c r="NFE17" s="14"/>
      <c r="NFF17" s="14"/>
      <c r="NFG17" s="14"/>
      <c r="NFH17" s="14"/>
      <c r="NFI17" s="14"/>
      <c r="NFJ17" s="14"/>
      <c r="NFK17" s="14"/>
      <c r="NFL17" s="14"/>
      <c r="NFM17" s="14"/>
      <c r="NFN17" s="14"/>
      <c r="NFO17" s="14"/>
      <c r="NFP17" s="14"/>
      <c r="NFQ17" s="14"/>
      <c r="NFR17" s="14"/>
      <c r="NFS17" s="14"/>
      <c r="NFT17" s="14"/>
      <c r="NFU17" s="14"/>
      <c r="NFV17" s="14"/>
      <c r="NFW17" s="14"/>
      <c r="NFX17" s="14"/>
      <c r="NFY17" s="14"/>
      <c r="NFZ17" s="14"/>
      <c r="NGA17" s="14"/>
      <c r="NGB17" s="14"/>
      <c r="NGC17" s="14"/>
      <c r="NGD17" s="14"/>
      <c r="NGE17" s="14"/>
      <c r="NGF17" s="14"/>
      <c r="NGG17" s="14"/>
      <c r="NGH17" s="14"/>
      <c r="NGI17" s="14"/>
      <c r="NGJ17" s="14"/>
      <c r="NGK17" s="14"/>
      <c r="NGL17" s="14"/>
      <c r="NGM17" s="14"/>
      <c r="NGN17" s="14"/>
      <c r="NGO17" s="14"/>
      <c r="NGP17" s="14"/>
      <c r="NGQ17" s="14"/>
      <c r="NGR17" s="14"/>
      <c r="NGS17" s="14"/>
      <c r="NGT17" s="14"/>
      <c r="NGU17" s="14"/>
      <c r="NGV17" s="14"/>
      <c r="NGW17" s="14"/>
      <c r="NGX17" s="14"/>
      <c r="NGY17" s="14"/>
      <c r="NGZ17" s="14"/>
      <c r="NHA17" s="14"/>
      <c r="NHB17" s="14"/>
      <c r="NHC17" s="14"/>
      <c r="NHD17" s="14"/>
      <c r="NHE17" s="14"/>
      <c r="NHF17" s="14"/>
      <c r="NHG17" s="14"/>
      <c r="NHH17" s="14"/>
      <c r="NHI17" s="14"/>
      <c r="NHJ17" s="14"/>
      <c r="NHK17" s="14"/>
      <c r="NHL17" s="14"/>
      <c r="NHM17" s="14"/>
      <c r="NHN17" s="14"/>
      <c r="NHO17" s="14"/>
      <c r="NHP17" s="14"/>
      <c r="NHQ17" s="14"/>
      <c r="NHR17" s="14"/>
      <c r="NHS17" s="14"/>
      <c r="NHT17" s="14"/>
      <c r="NHU17" s="14"/>
      <c r="NHV17" s="14"/>
      <c r="NHW17" s="14"/>
      <c r="NHX17" s="14"/>
      <c r="NHY17" s="14"/>
      <c r="NHZ17" s="14"/>
      <c r="NIA17" s="14"/>
      <c r="NIB17" s="14"/>
      <c r="NIC17" s="14"/>
      <c r="NID17" s="14"/>
      <c r="NIE17" s="14"/>
      <c r="NIF17" s="14"/>
      <c r="NIG17" s="14"/>
      <c r="NIH17" s="14"/>
      <c r="NII17" s="14"/>
      <c r="NIJ17" s="14"/>
      <c r="NIK17" s="14"/>
      <c r="NIL17" s="14"/>
      <c r="NIM17" s="14"/>
      <c r="NIN17" s="14"/>
      <c r="NIO17" s="14"/>
      <c r="NIP17" s="14"/>
      <c r="NIQ17" s="14"/>
      <c r="NIR17" s="14"/>
      <c r="NIS17" s="14"/>
      <c r="NIT17" s="14"/>
      <c r="NIU17" s="14"/>
      <c r="NIV17" s="14"/>
      <c r="NIW17" s="14"/>
      <c r="NIX17" s="14"/>
      <c r="NIY17" s="14"/>
      <c r="NIZ17" s="14"/>
      <c r="NJA17" s="14"/>
      <c r="NJB17" s="14"/>
      <c r="NJC17" s="14"/>
      <c r="NJD17" s="14"/>
      <c r="NJE17" s="14"/>
      <c r="NJF17" s="14"/>
      <c r="NJG17" s="14"/>
      <c r="NJH17" s="14"/>
      <c r="NJI17" s="14"/>
      <c r="NJJ17" s="14"/>
      <c r="NJK17" s="14"/>
      <c r="NJL17" s="14"/>
      <c r="NJM17" s="14"/>
      <c r="NJN17" s="14"/>
      <c r="NJO17" s="14"/>
      <c r="NJP17" s="14"/>
      <c r="NJQ17" s="14"/>
      <c r="NJR17" s="14"/>
      <c r="NJS17" s="14"/>
      <c r="NJT17" s="14"/>
      <c r="NJU17" s="14"/>
      <c r="NJV17" s="14"/>
      <c r="NJW17" s="14"/>
      <c r="NJX17" s="14"/>
      <c r="NJY17" s="14"/>
      <c r="NJZ17" s="14"/>
      <c r="NKA17" s="14"/>
      <c r="NKB17" s="14"/>
      <c r="NKC17" s="14"/>
      <c r="NKD17" s="14"/>
      <c r="NKE17" s="14"/>
      <c r="NKF17" s="14"/>
      <c r="NKG17" s="14"/>
      <c r="NKH17" s="14"/>
      <c r="NKI17" s="14"/>
      <c r="NKJ17" s="14"/>
      <c r="NKK17" s="14"/>
      <c r="NKL17" s="14"/>
      <c r="NKM17" s="14"/>
      <c r="NKN17" s="14"/>
      <c r="NKO17" s="14"/>
      <c r="NKP17" s="14"/>
      <c r="NKQ17" s="14"/>
      <c r="NKR17" s="14"/>
      <c r="NKS17" s="14"/>
      <c r="NKT17" s="14"/>
      <c r="NKU17" s="14"/>
      <c r="NKV17" s="14"/>
      <c r="NKW17" s="14"/>
      <c r="NKX17" s="14"/>
      <c r="NKY17" s="14"/>
      <c r="NKZ17" s="14"/>
      <c r="NLA17" s="14"/>
      <c r="NLB17" s="14"/>
      <c r="NLC17" s="14"/>
      <c r="NLD17" s="14"/>
      <c r="NLE17" s="14"/>
      <c r="NLF17" s="14"/>
      <c r="NLG17" s="14"/>
      <c r="NLH17" s="14"/>
      <c r="NLI17" s="14"/>
      <c r="NLJ17" s="14"/>
      <c r="NLK17" s="14"/>
      <c r="NLL17" s="14"/>
      <c r="NLM17" s="14"/>
      <c r="NLN17" s="14"/>
      <c r="NLO17" s="14"/>
      <c r="NLP17" s="14"/>
      <c r="NLQ17" s="14"/>
      <c r="NLR17" s="14"/>
      <c r="NLS17" s="14"/>
      <c r="NLT17" s="14"/>
      <c r="NLU17" s="14"/>
      <c r="NLV17" s="14"/>
      <c r="NLW17" s="14"/>
      <c r="NLX17" s="14"/>
      <c r="NLY17" s="14"/>
      <c r="NLZ17" s="14"/>
      <c r="NMA17" s="14"/>
      <c r="NMB17" s="14"/>
      <c r="NMC17" s="14"/>
      <c r="NMD17" s="14"/>
      <c r="NME17" s="14"/>
      <c r="NMF17" s="14"/>
      <c r="NMG17" s="14"/>
      <c r="NMH17" s="14"/>
      <c r="NMI17" s="14"/>
      <c r="NMJ17" s="14"/>
      <c r="NMK17" s="14"/>
      <c r="NML17" s="14"/>
      <c r="NMM17" s="14"/>
      <c r="NMN17" s="14"/>
      <c r="NMO17" s="14"/>
      <c r="NMP17" s="14"/>
      <c r="NMQ17" s="14"/>
      <c r="NMR17" s="14"/>
      <c r="NMS17" s="14"/>
      <c r="NMT17" s="14"/>
      <c r="NMU17" s="14"/>
      <c r="NMV17" s="14"/>
      <c r="NMW17" s="14"/>
      <c r="NMX17" s="14"/>
      <c r="NMY17" s="14"/>
      <c r="NMZ17" s="14"/>
      <c r="NNA17" s="14"/>
      <c r="NNB17" s="14"/>
      <c r="NNC17" s="14"/>
      <c r="NND17" s="14"/>
      <c r="NNE17" s="14"/>
      <c r="NNF17" s="14"/>
      <c r="NNG17" s="14"/>
      <c r="NNH17" s="14"/>
      <c r="NNI17" s="14"/>
      <c r="NNJ17" s="14"/>
      <c r="NNK17" s="14"/>
      <c r="NNL17" s="14"/>
      <c r="NNM17" s="14"/>
      <c r="NNN17" s="14"/>
      <c r="NNO17" s="14"/>
      <c r="NNP17" s="14"/>
      <c r="NNQ17" s="14"/>
      <c r="NNR17" s="14"/>
      <c r="NNS17" s="14"/>
      <c r="NNT17" s="14"/>
      <c r="NNU17" s="14"/>
      <c r="NNV17" s="14"/>
      <c r="NNW17" s="14"/>
      <c r="NNX17" s="14"/>
      <c r="NNY17" s="14"/>
      <c r="NNZ17" s="14"/>
      <c r="NOA17" s="14"/>
      <c r="NOB17" s="14"/>
      <c r="NOC17" s="14"/>
      <c r="NOD17" s="14"/>
      <c r="NOE17" s="14"/>
      <c r="NOF17" s="14"/>
      <c r="NOG17" s="14"/>
      <c r="NOH17" s="14"/>
      <c r="NOI17" s="14"/>
      <c r="NOJ17" s="14"/>
      <c r="NOK17" s="14"/>
      <c r="NOL17" s="14"/>
      <c r="NOM17" s="14"/>
      <c r="NON17" s="14"/>
      <c r="NOO17" s="14"/>
      <c r="NOP17" s="14"/>
      <c r="NOQ17" s="14"/>
      <c r="NOR17" s="14"/>
      <c r="NOS17" s="14"/>
      <c r="NOT17" s="14"/>
      <c r="NOU17" s="14"/>
      <c r="NOV17" s="14"/>
      <c r="NOW17" s="14"/>
      <c r="NOX17" s="14"/>
      <c r="NOY17" s="14"/>
      <c r="NOZ17" s="14"/>
      <c r="NPA17" s="14"/>
      <c r="NPB17" s="14"/>
      <c r="NPC17" s="14"/>
      <c r="NPD17" s="14"/>
      <c r="NPE17" s="14"/>
      <c r="NPF17" s="14"/>
      <c r="NPG17" s="14"/>
      <c r="NPH17" s="14"/>
      <c r="NPI17" s="14"/>
      <c r="NPJ17" s="14"/>
      <c r="NPK17" s="14"/>
      <c r="NPL17" s="14"/>
      <c r="NPM17" s="14"/>
      <c r="NPN17" s="14"/>
      <c r="NPO17" s="14"/>
      <c r="NPP17" s="14"/>
      <c r="NPQ17" s="14"/>
      <c r="NPR17" s="14"/>
      <c r="NPS17" s="14"/>
      <c r="NPT17" s="14"/>
      <c r="NPU17" s="14"/>
      <c r="NPV17" s="14"/>
      <c r="NPW17" s="14"/>
      <c r="NPX17" s="14"/>
      <c r="NPY17" s="14"/>
      <c r="NPZ17" s="14"/>
      <c r="NQA17" s="14"/>
      <c r="NQB17" s="14"/>
      <c r="NQC17" s="14"/>
      <c r="NQD17" s="14"/>
      <c r="NQE17" s="14"/>
      <c r="NQF17" s="14"/>
      <c r="NQG17" s="14"/>
      <c r="NQH17" s="14"/>
      <c r="NQI17" s="14"/>
      <c r="NQJ17" s="14"/>
      <c r="NQK17" s="14"/>
      <c r="NQL17" s="14"/>
      <c r="NQM17" s="14"/>
      <c r="NQN17" s="14"/>
      <c r="NQO17" s="14"/>
      <c r="NQP17" s="14"/>
      <c r="NQQ17" s="14"/>
      <c r="NQR17" s="14"/>
      <c r="NQS17" s="14"/>
      <c r="NQT17" s="14"/>
      <c r="NQU17" s="14"/>
      <c r="NQV17" s="14"/>
      <c r="NQW17" s="14"/>
      <c r="NQX17" s="14"/>
      <c r="NQY17" s="14"/>
      <c r="NQZ17" s="14"/>
      <c r="NRA17" s="14"/>
      <c r="NRB17" s="14"/>
      <c r="NRC17" s="14"/>
      <c r="NRD17" s="14"/>
      <c r="NRE17" s="14"/>
      <c r="NRF17" s="14"/>
      <c r="NRG17" s="14"/>
      <c r="NRH17" s="14"/>
      <c r="NRI17" s="14"/>
      <c r="NRJ17" s="14"/>
      <c r="NRK17" s="14"/>
      <c r="NRL17" s="14"/>
      <c r="NRM17" s="14"/>
      <c r="NRN17" s="14"/>
      <c r="NRO17" s="14"/>
      <c r="NRP17" s="14"/>
      <c r="NRQ17" s="14"/>
      <c r="NRR17" s="14"/>
      <c r="NRS17" s="14"/>
      <c r="NRT17" s="14"/>
      <c r="NRU17" s="14"/>
      <c r="NRV17" s="14"/>
      <c r="NRW17" s="14"/>
      <c r="NRX17" s="14"/>
      <c r="NRY17" s="14"/>
      <c r="NRZ17" s="14"/>
      <c r="NSA17" s="14"/>
      <c r="NSB17" s="14"/>
      <c r="NSC17" s="14"/>
      <c r="NSD17" s="14"/>
      <c r="NSE17" s="14"/>
      <c r="NSF17" s="14"/>
      <c r="NSG17" s="14"/>
      <c r="NSH17" s="14"/>
      <c r="NSI17" s="14"/>
      <c r="NSJ17" s="14"/>
      <c r="NSK17" s="14"/>
      <c r="NSL17" s="14"/>
      <c r="NSM17" s="14"/>
      <c r="NSN17" s="14"/>
      <c r="NSO17" s="14"/>
      <c r="NSP17" s="14"/>
      <c r="NSQ17" s="14"/>
      <c r="NSR17" s="14"/>
      <c r="NSS17" s="14"/>
      <c r="NST17" s="14"/>
      <c r="NSU17" s="14"/>
      <c r="NSV17" s="14"/>
      <c r="NSW17" s="14"/>
      <c r="NSX17" s="14"/>
      <c r="NSY17" s="14"/>
      <c r="NSZ17" s="14"/>
      <c r="NTA17" s="14"/>
      <c r="NTB17" s="14"/>
      <c r="NTC17" s="14"/>
      <c r="NTD17" s="14"/>
      <c r="NTE17" s="14"/>
      <c r="NTF17" s="14"/>
      <c r="NTG17" s="14"/>
      <c r="NTH17" s="14"/>
      <c r="NTI17" s="14"/>
      <c r="NTJ17" s="14"/>
      <c r="NTK17" s="14"/>
      <c r="NTL17" s="14"/>
      <c r="NTM17" s="14"/>
      <c r="NTN17" s="14"/>
      <c r="NTO17" s="14"/>
      <c r="NTP17" s="14"/>
      <c r="NTQ17" s="14"/>
      <c r="NTR17" s="14"/>
      <c r="NTS17" s="14"/>
      <c r="NTT17" s="14"/>
      <c r="NTU17" s="14"/>
      <c r="NTV17" s="14"/>
      <c r="NTW17" s="14"/>
      <c r="NTX17" s="14"/>
      <c r="NTY17" s="14"/>
      <c r="NTZ17" s="14"/>
      <c r="NUA17" s="14"/>
      <c r="NUB17" s="14"/>
      <c r="NUC17" s="14"/>
      <c r="NUD17" s="14"/>
      <c r="NUE17" s="14"/>
      <c r="NUF17" s="14"/>
      <c r="NUG17" s="14"/>
      <c r="NUH17" s="14"/>
      <c r="NUI17" s="14"/>
      <c r="NUJ17" s="14"/>
      <c r="NUK17" s="14"/>
      <c r="NUL17" s="14"/>
      <c r="NUM17" s="14"/>
      <c r="NUN17" s="14"/>
      <c r="NUO17" s="14"/>
      <c r="NUP17" s="14"/>
      <c r="NUQ17" s="14"/>
      <c r="NUR17" s="14"/>
      <c r="NUS17" s="14"/>
      <c r="NUT17" s="14"/>
      <c r="NUU17" s="14"/>
      <c r="NUV17" s="14"/>
      <c r="NUW17" s="14"/>
      <c r="NUX17" s="14"/>
      <c r="NUY17" s="14"/>
      <c r="NUZ17" s="14"/>
      <c r="NVA17" s="14"/>
      <c r="NVB17" s="14"/>
      <c r="NVC17" s="14"/>
      <c r="NVD17" s="14"/>
      <c r="NVE17" s="14"/>
      <c r="NVF17" s="14"/>
      <c r="NVG17" s="14"/>
      <c r="NVH17" s="14"/>
      <c r="NVI17" s="14"/>
      <c r="NVJ17" s="14"/>
      <c r="NVK17" s="14"/>
      <c r="NVL17" s="14"/>
      <c r="NVM17" s="14"/>
      <c r="NVN17" s="14"/>
      <c r="NVO17" s="14"/>
      <c r="NVP17" s="14"/>
      <c r="NVQ17" s="14"/>
      <c r="NVR17" s="14"/>
      <c r="NVS17" s="14"/>
      <c r="NVT17" s="14"/>
      <c r="NVU17" s="14"/>
      <c r="NVV17" s="14"/>
      <c r="NVW17" s="14"/>
      <c r="NVX17" s="14"/>
      <c r="NVY17" s="14"/>
      <c r="NVZ17" s="14"/>
      <c r="NWA17" s="14"/>
      <c r="NWB17" s="14"/>
      <c r="NWC17" s="14"/>
      <c r="NWD17" s="14"/>
      <c r="NWE17" s="14"/>
      <c r="NWF17" s="14"/>
      <c r="NWG17" s="14"/>
      <c r="NWH17" s="14"/>
      <c r="NWI17" s="14"/>
      <c r="NWJ17" s="14"/>
      <c r="NWK17" s="14"/>
      <c r="NWL17" s="14"/>
      <c r="NWM17" s="14"/>
      <c r="NWN17" s="14"/>
      <c r="NWO17" s="14"/>
      <c r="NWP17" s="14"/>
      <c r="NWQ17" s="14"/>
      <c r="NWR17" s="14"/>
      <c r="NWS17" s="14"/>
      <c r="NWT17" s="14"/>
      <c r="NWU17" s="14"/>
      <c r="NWV17" s="14"/>
      <c r="NWW17" s="14"/>
      <c r="NWX17" s="14"/>
      <c r="NWY17" s="14"/>
      <c r="NWZ17" s="14"/>
      <c r="NXA17" s="14"/>
      <c r="NXB17" s="14"/>
      <c r="NXC17" s="14"/>
      <c r="NXD17" s="14"/>
      <c r="NXE17" s="14"/>
      <c r="NXF17" s="14"/>
      <c r="NXG17" s="14"/>
      <c r="NXH17" s="14"/>
      <c r="NXI17" s="14"/>
      <c r="NXJ17" s="14"/>
      <c r="NXK17" s="14"/>
      <c r="NXL17" s="14"/>
      <c r="NXM17" s="14"/>
      <c r="NXN17" s="14"/>
      <c r="NXO17" s="14"/>
      <c r="NXP17" s="14"/>
      <c r="NXQ17" s="14"/>
      <c r="NXR17" s="14"/>
      <c r="NXS17" s="14"/>
      <c r="NXT17" s="14"/>
      <c r="NXU17" s="14"/>
      <c r="NXV17" s="14"/>
      <c r="NXW17" s="14"/>
      <c r="NXX17" s="14"/>
      <c r="NXY17" s="14"/>
      <c r="NXZ17" s="14"/>
      <c r="NYA17" s="14"/>
      <c r="NYB17" s="14"/>
      <c r="NYC17" s="14"/>
      <c r="NYD17" s="14"/>
      <c r="NYE17" s="14"/>
      <c r="NYF17" s="14"/>
      <c r="NYG17" s="14"/>
      <c r="NYH17" s="14"/>
      <c r="NYI17" s="14"/>
      <c r="NYJ17" s="14"/>
      <c r="NYK17" s="14"/>
      <c r="NYL17" s="14"/>
      <c r="NYM17" s="14"/>
      <c r="NYN17" s="14"/>
      <c r="NYO17" s="14"/>
      <c r="NYP17" s="14"/>
      <c r="NYQ17" s="14"/>
      <c r="NYR17" s="14"/>
      <c r="NYS17" s="14"/>
      <c r="NYT17" s="14"/>
      <c r="NYU17" s="14"/>
      <c r="NYV17" s="14"/>
      <c r="NYW17" s="14"/>
      <c r="NYX17" s="14"/>
      <c r="NYY17" s="14"/>
      <c r="NYZ17" s="14"/>
      <c r="NZA17" s="14"/>
      <c r="NZB17" s="14"/>
      <c r="NZC17" s="14"/>
      <c r="NZD17" s="14"/>
      <c r="NZE17" s="14"/>
      <c r="NZF17" s="14"/>
      <c r="NZG17" s="14"/>
      <c r="NZH17" s="14"/>
      <c r="NZI17" s="14"/>
      <c r="NZJ17" s="14"/>
      <c r="NZK17" s="14"/>
      <c r="NZL17" s="14"/>
      <c r="NZM17" s="14"/>
      <c r="NZN17" s="14"/>
      <c r="NZO17" s="14"/>
      <c r="NZP17" s="14"/>
      <c r="NZQ17" s="14"/>
      <c r="NZR17" s="14"/>
      <c r="NZS17" s="14"/>
      <c r="NZT17" s="14"/>
      <c r="NZU17" s="14"/>
      <c r="NZV17" s="14"/>
      <c r="NZW17" s="14"/>
      <c r="NZX17" s="14"/>
      <c r="NZY17" s="14"/>
      <c r="NZZ17" s="14"/>
      <c r="OAA17" s="14"/>
      <c r="OAB17" s="14"/>
      <c r="OAC17" s="14"/>
      <c r="OAD17" s="14"/>
      <c r="OAE17" s="14"/>
      <c r="OAF17" s="14"/>
      <c r="OAG17" s="14"/>
      <c r="OAH17" s="14"/>
      <c r="OAI17" s="14"/>
      <c r="OAJ17" s="14"/>
      <c r="OAK17" s="14"/>
      <c r="OAL17" s="14"/>
      <c r="OAM17" s="14"/>
      <c r="OAN17" s="14"/>
      <c r="OAO17" s="14"/>
      <c r="OAP17" s="14"/>
      <c r="OAQ17" s="14"/>
      <c r="OAR17" s="14"/>
      <c r="OAS17" s="14"/>
      <c r="OAT17" s="14"/>
      <c r="OAU17" s="14"/>
      <c r="OAV17" s="14"/>
      <c r="OAW17" s="14"/>
      <c r="OAX17" s="14"/>
      <c r="OAY17" s="14"/>
      <c r="OAZ17" s="14"/>
      <c r="OBA17" s="14"/>
      <c r="OBB17" s="14"/>
      <c r="OBC17" s="14"/>
      <c r="OBD17" s="14"/>
      <c r="OBE17" s="14"/>
      <c r="OBF17" s="14"/>
      <c r="OBG17" s="14"/>
      <c r="OBH17" s="14"/>
      <c r="OBI17" s="14"/>
      <c r="OBJ17" s="14"/>
      <c r="OBK17" s="14"/>
      <c r="OBL17" s="14"/>
      <c r="OBM17" s="14"/>
      <c r="OBN17" s="14"/>
      <c r="OBO17" s="14"/>
      <c r="OBP17" s="14"/>
      <c r="OBQ17" s="14"/>
      <c r="OBR17" s="14"/>
      <c r="OBS17" s="14"/>
      <c r="OBT17" s="14"/>
      <c r="OBU17" s="14"/>
      <c r="OBV17" s="14"/>
      <c r="OBW17" s="14"/>
      <c r="OBX17" s="14"/>
      <c r="OBY17" s="14"/>
      <c r="OBZ17" s="14"/>
      <c r="OCA17" s="14"/>
      <c r="OCB17" s="14"/>
      <c r="OCC17" s="14"/>
      <c r="OCD17" s="14"/>
      <c r="OCE17" s="14"/>
      <c r="OCF17" s="14"/>
      <c r="OCG17" s="14"/>
      <c r="OCH17" s="14"/>
      <c r="OCI17" s="14"/>
      <c r="OCJ17" s="14"/>
      <c r="OCK17" s="14"/>
      <c r="OCL17" s="14"/>
      <c r="OCM17" s="14"/>
      <c r="OCN17" s="14"/>
      <c r="OCO17" s="14"/>
      <c r="OCP17" s="14"/>
      <c r="OCQ17" s="14"/>
      <c r="OCR17" s="14"/>
      <c r="OCS17" s="14"/>
      <c r="OCT17" s="14"/>
      <c r="OCU17" s="14"/>
      <c r="OCV17" s="14"/>
      <c r="OCW17" s="14"/>
      <c r="OCX17" s="14"/>
      <c r="OCY17" s="14"/>
      <c r="OCZ17" s="14"/>
      <c r="ODA17" s="14"/>
      <c r="ODB17" s="14"/>
      <c r="ODC17" s="14"/>
      <c r="ODD17" s="14"/>
      <c r="ODE17" s="14"/>
      <c r="ODF17" s="14"/>
      <c r="ODG17" s="14"/>
      <c r="ODH17" s="14"/>
      <c r="ODI17" s="14"/>
      <c r="ODJ17" s="14"/>
      <c r="ODK17" s="14"/>
      <c r="ODL17" s="14"/>
      <c r="ODM17" s="14"/>
      <c r="ODN17" s="14"/>
      <c r="ODO17" s="14"/>
      <c r="ODP17" s="14"/>
      <c r="ODQ17" s="14"/>
      <c r="ODR17" s="14"/>
      <c r="ODS17" s="14"/>
      <c r="ODT17" s="14"/>
      <c r="ODU17" s="14"/>
      <c r="ODV17" s="14"/>
      <c r="ODW17" s="14"/>
      <c r="ODX17" s="14"/>
      <c r="ODY17" s="14"/>
      <c r="ODZ17" s="14"/>
      <c r="OEA17" s="14"/>
      <c r="OEB17" s="14"/>
      <c r="OEC17" s="14"/>
      <c r="OED17" s="14"/>
      <c r="OEE17" s="14"/>
      <c r="OEF17" s="14"/>
      <c r="OEG17" s="14"/>
      <c r="OEH17" s="14"/>
      <c r="OEI17" s="14"/>
      <c r="OEJ17" s="14"/>
      <c r="OEK17" s="14"/>
      <c r="OEL17" s="14"/>
      <c r="OEM17" s="14"/>
      <c r="OEN17" s="14"/>
      <c r="OEO17" s="14"/>
      <c r="OEP17" s="14"/>
      <c r="OEQ17" s="14"/>
      <c r="OER17" s="14"/>
      <c r="OES17" s="14"/>
      <c r="OET17" s="14"/>
      <c r="OEU17" s="14"/>
      <c r="OEV17" s="14"/>
      <c r="OEW17" s="14"/>
      <c r="OEX17" s="14"/>
      <c r="OEY17" s="14"/>
      <c r="OEZ17" s="14"/>
      <c r="OFA17" s="14"/>
      <c r="OFB17" s="14"/>
      <c r="OFC17" s="14"/>
      <c r="OFD17" s="14"/>
      <c r="OFE17" s="14"/>
      <c r="OFF17" s="14"/>
      <c r="OFG17" s="14"/>
      <c r="OFH17" s="14"/>
      <c r="OFI17" s="14"/>
      <c r="OFJ17" s="14"/>
      <c r="OFK17" s="14"/>
      <c r="OFL17" s="14"/>
      <c r="OFM17" s="14"/>
      <c r="OFN17" s="14"/>
      <c r="OFO17" s="14"/>
      <c r="OFP17" s="14"/>
      <c r="OFQ17" s="14"/>
      <c r="OFR17" s="14"/>
      <c r="OFS17" s="14"/>
      <c r="OFT17" s="14"/>
      <c r="OFU17" s="14"/>
      <c r="OFV17" s="14"/>
      <c r="OFW17" s="14"/>
      <c r="OFX17" s="14"/>
      <c r="OFY17" s="14"/>
      <c r="OFZ17" s="14"/>
      <c r="OGA17" s="14"/>
      <c r="OGB17" s="14"/>
      <c r="OGC17" s="14"/>
      <c r="OGD17" s="14"/>
      <c r="OGE17" s="14"/>
      <c r="OGF17" s="14"/>
      <c r="OGG17" s="14"/>
      <c r="OGH17" s="14"/>
      <c r="OGI17" s="14"/>
      <c r="OGJ17" s="14"/>
      <c r="OGK17" s="14"/>
      <c r="OGL17" s="14"/>
      <c r="OGM17" s="14"/>
      <c r="OGN17" s="14"/>
      <c r="OGO17" s="14"/>
      <c r="OGP17" s="14"/>
      <c r="OGQ17" s="14"/>
      <c r="OGR17" s="14"/>
      <c r="OGS17" s="14"/>
      <c r="OGT17" s="14"/>
      <c r="OGU17" s="14"/>
      <c r="OGV17" s="14"/>
      <c r="OGW17" s="14"/>
      <c r="OGX17" s="14"/>
      <c r="OGY17" s="14"/>
      <c r="OGZ17" s="14"/>
      <c r="OHA17" s="14"/>
      <c r="OHB17" s="14"/>
      <c r="OHC17" s="14"/>
      <c r="OHD17" s="14"/>
      <c r="OHE17" s="14"/>
      <c r="OHF17" s="14"/>
      <c r="OHG17" s="14"/>
      <c r="OHH17" s="14"/>
      <c r="OHI17" s="14"/>
      <c r="OHJ17" s="14"/>
      <c r="OHK17" s="14"/>
      <c r="OHL17" s="14"/>
      <c r="OHM17" s="14"/>
      <c r="OHN17" s="14"/>
      <c r="OHO17" s="14"/>
      <c r="OHP17" s="14"/>
      <c r="OHQ17" s="14"/>
      <c r="OHR17" s="14"/>
      <c r="OHS17" s="14"/>
      <c r="OHT17" s="14"/>
      <c r="OHU17" s="14"/>
      <c r="OHV17" s="14"/>
      <c r="OHW17" s="14"/>
      <c r="OHX17" s="14"/>
      <c r="OHY17" s="14"/>
      <c r="OHZ17" s="14"/>
      <c r="OIA17" s="14"/>
      <c r="OIB17" s="14"/>
      <c r="OIC17" s="14"/>
      <c r="OID17" s="14"/>
      <c r="OIE17" s="14"/>
      <c r="OIF17" s="14"/>
      <c r="OIG17" s="14"/>
      <c r="OIH17" s="14"/>
      <c r="OII17" s="14"/>
      <c r="OIJ17" s="14"/>
      <c r="OIK17" s="14"/>
      <c r="OIL17" s="14"/>
      <c r="OIM17" s="14"/>
      <c r="OIN17" s="14"/>
      <c r="OIO17" s="14"/>
      <c r="OIP17" s="14"/>
      <c r="OIQ17" s="14"/>
      <c r="OIR17" s="14"/>
      <c r="OIS17" s="14"/>
      <c r="OIT17" s="14"/>
      <c r="OIU17" s="14"/>
      <c r="OIV17" s="14"/>
      <c r="OIW17" s="14"/>
      <c r="OIX17" s="14"/>
      <c r="OIY17" s="14"/>
      <c r="OIZ17" s="14"/>
      <c r="OJA17" s="14"/>
      <c r="OJB17" s="14"/>
      <c r="OJC17" s="14"/>
      <c r="OJD17" s="14"/>
      <c r="OJE17" s="14"/>
      <c r="OJF17" s="14"/>
      <c r="OJG17" s="14"/>
      <c r="OJH17" s="14"/>
      <c r="OJI17" s="14"/>
      <c r="OJJ17" s="14"/>
      <c r="OJK17" s="14"/>
      <c r="OJL17" s="14"/>
      <c r="OJM17" s="14"/>
      <c r="OJN17" s="14"/>
      <c r="OJO17" s="14"/>
      <c r="OJP17" s="14"/>
      <c r="OJQ17" s="14"/>
      <c r="OJR17" s="14"/>
      <c r="OJS17" s="14"/>
      <c r="OJT17" s="14"/>
      <c r="OJU17" s="14"/>
      <c r="OJV17" s="14"/>
      <c r="OJW17" s="14"/>
      <c r="OJX17" s="14"/>
      <c r="OJY17" s="14"/>
      <c r="OJZ17" s="14"/>
      <c r="OKA17" s="14"/>
      <c r="OKB17" s="14"/>
      <c r="OKC17" s="14"/>
      <c r="OKD17" s="14"/>
      <c r="OKE17" s="14"/>
      <c r="OKF17" s="14"/>
      <c r="OKG17" s="14"/>
      <c r="OKH17" s="14"/>
      <c r="OKI17" s="14"/>
      <c r="OKJ17" s="14"/>
      <c r="OKK17" s="14"/>
      <c r="OKL17" s="14"/>
      <c r="OKM17" s="14"/>
      <c r="OKN17" s="14"/>
      <c r="OKO17" s="14"/>
      <c r="OKP17" s="14"/>
      <c r="OKQ17" s="14"/>
      <c r="OKR17" s="14"/>
      <c r="OKS17" s="14"/>
      <c r="OKT17" s="14"/>
      <c r="OKU17" s="14"/>
      <c r="OKV17" s="14"/>
      <c r="OKW17" s="14"/>
      <c r="OKX17" s="14"/>
      <c r="OKY17" s="14"/>
      <c r="OKZ17" s="14"/>
      <c r="OLA17" s="14"/>
      <c r="OLB17" s="14"/>
      <c r="OLC17" s="14"/>
      <c r="OLD17" s="14"/>
      <c r="OLE17" s="14"/>
      <c r="OLF17" s="14"/>
      <c r="OLG17" s="14"/>
      <c r="OLH17" s="14"/>
      <c r="OLI17" s="14"/>
      <c r="OLJ17" s="14"/>
      <c r="OLK17" s="14"/>
      <c r="OLL17" s="14"/>
      <c r="OLM17" s="14"/>
      <c r="OLN17" s="14"/>
      <c r="OLO17" s="14"/>
      <c r="OLP17" s="14"/>
      <c r="OLQ17" s="14"/>
      <c r="OLR17" s="14"/>
      <c r="OLS17" s="14"/>
      <c r="OLT17" s="14"/>
      <c r="OLU17" s="14"/>
      <c r="OLV17" s="14"/>
      <c r="OLW17" s="14"/>
      <c r="OLX17" s="14"/>
      <c r="OLY17" s="14"/>
      <c r="OLZ17" s="14"/>
      <c r="OMA17" s="14"/>
      <c r="OMB17" s="14"/>
      <c r="OMC17" s="14"/>
      <c r="OMD17" s="14"/>
      <c r="OME17" s="14"/>
      <c r="OMF17" s="14"/>
      <c r="OMG17" s="14"/>
      <c r="OMH17" s="14"/>
      <c r="OMI17" s="14"/>
      <c r="OMJ17" s="14"/>
      <c r="OMK17" s="14"/>
      <c r="OML17" s="14"/>
      <c r="OMM17" s="14"/>
      <c r="OMN17" s="14"/>
      <c r="OMO17" s="14"/>
      <c r="OMP17" s="14"/>
      <c r="OMQ17" s="14"/>
      <c r="OMR17" s="14"/>
      <c r="OMS17" s="14"/>
      <c r="OMT17" s="14"/>
      <c r="OMU17" s="14"/>
      <c r="OMV17" s="14"/>
      <c r="OMW17" s="14"/>
      <c r="OMX17" s="14"/>
      <c r="OMY17" s="14"/>
      <c r="OMZ17" s="14"/>
      <c r="ONA17" s="14"/>
      <c r="ONB17" s="14"/>
      <c r="ONC17" s="14"/>
      <c r="OND17" s="14"/>
      <c r="ONE17" s="14"/>
      <c r="ONF17" s="14"/>
      <c r="ONG17" s="14"/>
      <c r="ONH17" s="14"/>
      <c r="ONI17" s="14"/>
      <c r="ONJ17" s="14"/>
      <c r="ONK17" s="14"/>
      <c r="ONL17" s="14"/>
      <c r="ONM17" s="14"/>
      <c r="ONN17" s="14"/>
      <c r="ONO17" s="14"/>
      <c r="ONP17" s="14"/>
      <c r="ONQ17" s="14"/>
      <c r="ONR17" s="14"/>
      <c r="ONS17" s="14"/>
      <c r="ONT17" s="14"/>
      <c r="ONU17" s="14"/>
      <c r="ONV17" s="14"/>
      <c r="ONW17" s="14"/>
      <c r="ONX17" s="14"/>
      <c r="ONY17" s="14"/>
      <c r="ONZ17" s="14"/>
      <c r="OOA17" s="14"/>
      <c r="OOB17" s="14"/>
      <c r="OOC17" s="14"/>
      <c r="OOD17" s="14"/>
      <c r="OOE17" s="14"/>
      <c r="OOF17" s="14"/>
      <c r="OOG17" s="14"/>
      <c r="OOH17" s="14"/>
      <c r="OOI17" s="14"/>
      <c r="OOJ17" s="14"/>
      <c r="OOK17" s="14"/>
      <c r="OOL17" s="14"/>
      <c r="OOM17" s="14"/>
      <c r="OON17" s="14"/>
      <c r="OOO17" s="14"/>
      <c r="OOP17" s="14"/>
      <c r="OOQ17" s="14"/>
      <c r="OOR17" s="14"/>
      <c r="OOS17" s="14"/>
      <c r="OOT17" s="14"/>
      <c r="OOU17" s="14"/>
      <c r="OOV17" s="14"/>
      <c r="OOW17" s="14"/>
      <c r="OOX17" s="14"/>
      <c r="OOY17" s="14"/>
      <c r="OOZ17" s="14"/>
      <c r="OPA17" s="14"/>
      <c r="OPB17" s="14"/>
      <c r="OPC17" s="14"/>
      <c r="OPD17" s="14"/>
      <c r="OPE17" s="14"/>
      <c r="OPF17" s="14"/>
      <c r="OPG17" s="14"/>
      <c r="OPH17" s="14"/>
      <c r="OPI17" s="14"/>
      <c r="OPJ17" s="14"/>
      <c r="OPK17" s="14"/>
      <c r="OPL17" s="14"/>
      <c r="OPM17" s="14"/>
      <c r="OPN17" s="14"/>
      <c r="OPO17" s="14"/>
      <c r="OPP17" s="14"/>
      <c r="OPQ17" s="14"/>
      <c r="OPR17" s="14"/>
      <c r="OPS17" s="14"/>
      <c r="OPT17" s="14"/>
      <c r="OPU17" s="14"/>
      <c r="OPV17" s="14"/>
      <c r="OPW17" s="14"/>
      <c r="OPX17" s="14"/>
      <c r="OPY17" s="14"/>
      <c r="OPZ17" s="14"/>
      <c r="OQA17" s="14"/>
      <c r="OQB17" s="14"/>
      <c r="OQC17" s="14"/>
      <c r="OQD17" s="14"/>
      <c r="OQE17" s="14"/>
      <c r="OQF17" s="14"/>
      <c r="OQG17" s="14"/>
      <c r="OQH17" s="14"/>
      <c r="OQI17" s="14"/>
      <c r="OQJ17" s="14"/>
      <c r="OQK17" s="14"/>
      <c r="OQL17" s="14"/>
      <c r="OQM17" s="14"/>
      <c r="OQN17" s="14"/>
      <c r="OQO17" s="14"/>
      <c r="OQP17" s="14"/>
      <c r="OQQ17" s="14"/>
      <c r="OQR17" s="14"/>
      <c r="OQS17" s="14"/>
      <c r="OQT17" s="14"/>
      <c r="OQU17" s="14"/>
      <c r="OQV17" s="14"/>
      <c r="OQW17" s="14"/>
      <c r="OQX17" s="14"/>
      <c r="OQY17" s="14"/>
      <c r="OQZ17" s="14"/>
      <c r="ORA17" s="14"/>
      <c r="ORB17" s="14"/>
      <c r="ORC17" s="14"/>
      <c r="ORD17" s="14"/>
      <c r="ORE17" s="14"/>
      <c r="ORF17" s="14"/>
      <c r="ORG17" s="14"/>
      <c r="ORH17" s="14"/>
      <c r="ORI17" s="14"/>
      <c r="ORJ17" s="14"/>
      <c r="ORK17" s="14"/>
      <c r="ORL17" s="14"/>
      <c r="ORM17" s="14"/>
      <c r="ORN17" s="14"/>
      <c r="ORO17" s="14"/>
      <c r="ORP17" s="14"/>
      <c r="ORQ17" s="14"/>
      <c r="ORR17" s="14"/>
      <c r="ORS17" s="14"/>
      <c r="ORT17" s="14"/>
      <c r="ORU17" s="14"/>
      <c r="ORV17" s="14"/>
      <c r="ORW17" s="14"/>
      <c r="ORX17" s="14"/>
      <c r="ORY17" s="14"/>
      <c r="ORZ17" s="14"/>
      <c r="OSA17" s="14"/>
      <c r="OSB17" s="14"/>
      <c r="OSC17" s="14"/>
      <c r="OSD17" s="14"/>
      <c r="OSE17" s="14"/>
      <c r="OSF17" s="14"/>
      <c r="OSG17" s="14"/>
      <c r="OSH17" s="14"/>
      <c r="OSI17" s="14"/>
      <c r="OSJ17" s="14"/>
      <c r="OSK17" s="14"/>
      <c r="OSL17" s="14"/>
      <c r="OSM17" s="14"/>
      <c r="OSN17" s="14"/>
      <c r="OSO17" s="14"/>
      <c r="OSP17" s="14"/>
      <c r="OSQ17" s="14"/>
      <c r="OSR17" s="14"/>
      <c r="OSS17" s="14"/>
      <c r="OST17" s="14"/>
      <c r="OSU17" s="14"/>
      <c r="OSV17" s="14"/>
      <c r="OSW17" s="14"/>
      <c r="OSX17" s="14"/>
      <c r="OSY17" s="14"/>
      <c r="OSZ17" s="14"/>
      <c r="OTA17" s="14"/>
      <c r="OTB17" s="14"/>
      <c r="OTC17" s="14"/>
      <c r="OTD17" s="14"/>
      <c r="OTE17" s="14"/>
      <c r="OTF17" s="14"/>
      <c r="OTG17" s="14"/>
      <c r="OTH17" s="14"/>
      <c r="OTI17" s="14"/>
      <c r="OTJ17" s="14"/>
      <c r="OTK17" s="14"/>
      <c r="OTL17" s="14"/>
      <c r="OTM17" s="14"/>
      <c r="OTN17" s="14"/>
      <c r="OTO17" s="14"/>
      <c r="OTP17" s="14"/>
      <c r="OTQ17" s="14"/>
      <c r="OTR17" s="14"/>
      <c r="OTS17" s="14"/>
      <c r="OTT17" s="14"/>
      <c r="OTU17" s="14"/>
      <c r="OTV17" s="14"/>
      <c r="OTW17" s="14"/>
      <c r="OTX17" s="14"/>
      <c r="OTY17" s="14"/>
      <c r="OTZ17" s="14"/>
      <c r="OUA17" s="14"/>
      <c r="OUB17" s="14"/>
      <c r="OUC17" s="14"/>
      <c r="OUD17" s="14"/>
      <c r="OUE17" s="14"/>
      <c r="OUF17" s="14"/>
      <c r="OUG17" s="14"/>
      <c r="OUH17" s="14"/>
      <c r="OUI17" s="14"/>
      <c r="OUJ17" s="14"/>
      <c r="OUK17" s="14"/>
      <c r="OUL17" s="14"/>
      <c r="OUM17" s="14"/>
      <c r="OUN17" s="14"/>
      <c r="OUO17" s="14"/>
      <c r="OUP17" s="14"/>
      <c r="OUQ17" s="14"/>
      <c r="OUR17" s="14"/>
      <c r="OUS17" s="14"/>
      <c r="OUT17" s="14"/>
      <c r="OUU17" s="14"/>
      <c r="OUV17" s="14"/>
      <c r="OUW17" s="14"/>
      <c r="OUX17" s="14"/>
      <c r="OUY17" s="14"/>
      <c r="OUZ17" s="14"/>
      <c r="OVA17" s="14"/>
      <c r="OVB17" s="14"/>
      <c r="OVC17" s="14"/>
      <c r="OVD17" s="14"/>
      <c r="OVE17" s="14"/>
      <c r="OVF17" s="14"/>
      <c r="OVG17" s="14"/>
      <c r="OVH17" s="14"/>
      <c r="OVI17" s="14"/>
      <c r="OVJ17" s="14"/>
      <c r="OVK17" s="14"/>
      <c r="OVL17" s="14"/>
      <c r="OVM17" s="14"/>
      <c r="OVN17" s="14"/>
      <c r="OVO17" s="14"/>
      <c r="OVP17" s="14"/>
      <c r="OVQ17" s="14"/>
      <c r="OVR17" s="14"/>
      <c r="OVS17" s="14"/>
      <c r="OVT17" s="14"/>
      <c r="OVU17" s="14"/>
      <c r="OVV17" s="14"/>
      <c r="OVW17" s="14"/>
      <c r="OVX17" s="14"/>
      <c r="OVY17" s="14"/>
      <c r="OVZ17" s="14"/>
      <c r="OWA17" s="14"/>
      <c r="OWB17" s="14"/>
      <c r="OWC17" s="14"/>
      <c r="OWD17" s="14"/>
      <c r="OWE17" s="14"/>
      <c r="OWF17" s="14"/>
      <c r="OWG17" s="14"/>
      <c r="OWH17" s="14"/>
      <c r="OWI17" s="14"/>
      <c r="OWJ17" s="14"/>
      <c r="OWK17" s="14"/>
      <c r="OWL17" s="14"/>
      <c r="OWM17" s="14"/>
      <c r="OWN17" s="14"/>
      <c r="OWO17" s="14"/>
      <c r="OWP17" s="14"/>
      <c r="OWQ17" s="14"/>
      <c r="OWR17" s="14"/>
      <c r="OWS17" s="14"/>
      <c r="OWT17" s="14"/>
      <c r="OWU17" s="14"/>
      <c r="OWV17" s="14"/>
      <c r="OWW17" s="14"/>
      <c r="OWX17" s="14"/>
      <c r="OWY17" s="14"/>
      <c r="OWZ17" s="14"/>
      <c r="OXA17" s="14"/>
      <c r="OXB17" s="14"/>
      <c r="OXC17" s="14"/>
      <c r="OXD17" s="14"/>
      <c r="OXE17" s="14"/>
      <c r="OXF17" s="14"/>
      <c r="OXG17" s="14"/>
      <c r="OXH17" s="14"/>
      <c r="OXI17" s="14"/>
      <c r="OXJ17" s="14"/>
      <c r="OXK17" s="14"/>
      <c r="OXL17" s="14"/>
      <c r="OXM17" s="14"/>
      <c r="OXN17" s="14"/>
      <c r="OXO17" s="14"/>
      <c r="OXP17" s="14"/>
      <c r="OXQ17" s="14"/>
      <c r="OXR17" s="14"/>
      <c r="OXS17" s="14"/>
      <c r="OXT17" s="14"/>
      <c r="OXU17" s="14"/>
      <c r="OXV17" s="14"/>
      <c r="OXW17" s="14"/>
      <c r="OXX17" s="14"/>
      <c r="OXY17" s="14"/>
      <c r="OXZ17" s="14"/>
      <c r="OYA17" s="14"/>
      <c r="OYB17" s="14"/>
      <c r="OYC17" s="14"/>
      <c r="OYD17" s="14"/>
      <c r="OYE17" s="14"/>
      <c r="OYF17" s="14"/>
      <c r="OYG17" s="14"/>
      <c r="OYH17" s="14"/>
      <c r="OYI17" s="14"/>
      <c r="OYJ17" s="14"/>
      <c r="OYK17" s="14"/>
      <c r="OYL17" s="14"/>
      <c r="OYM17" s="14"/>
      <c r="OYN17" s="14"/>
      <c r="OYO17" s="14"/>
      <c r="OYP17" s="14"/>
      <c r="OYQ17" s="14"/>
      <c r="OYR17" s="14"/>
      <c r="OYS17" s="14"/>
      <c r="OYT17" s="14"/>
      <c r="OYU17" s="14"/>
      <c r="OYV17" s="14"/>
      <c r="OYW17" s="14"/>
      <c r="OYX17" s="14"/>
      <c r="OYY17" s="14"/>
      <c r="OYZ17" s="14"/>
      <c r="OZA17" s="14"/>
      <c r="OZB17" s="14"/>
      <c r="OZC17" s="14"/>
      <c r="OZD17" s="14"/>
      <c r="OZE17" s="14"/>
      <c r="OZF17" s="14"/>
      <c r="OZG17" s="14"/>
      <c r="OZH17" s="14"/>
      <c r="OZI17" s="14"/>
      <c r="OZJ17" s="14"/>
      <c r="OZK17" s="14"/>
      <c r="OZL17" s="14"/>
      <c r="OZM17" s="14"/>
      <c r="OZN17" s="14"/>
      <c r="OZO17" s="14"/>
      <c r="OZP17" s="14"/>
      <c r="OZQ17" s="14"/>
      <c r="OZR17" s="14"/>
      <c r="OZS17" s="14"/>
      <c r="OZT17" s="14"/>
      <c r="OZU17" s="14"/>
      <c r="OZV17" s="14"/>
      <c r="OZW17" s="14"/>
      <c r="OZX17" s="14"/>
      <c r="OZY17" s="14"/>
      <c r="OZZ17" s="14"/>
      <c r="PAA17" s="14"/>
      <c r="PAB17" s="14"/>
      <c r="PAC17" s="14"/>
      <c r="PAD17" s="14"/>
      <c r="PAE17" s="14"/>
      <c r="PAF17" s="14"/>
      <c r="PAG17" s="14"/>
      <c r="PAH17" s="14"/>
      <c r="PAI17" s="14"/>
      <c r="PAJ17" s="14"/>
      <c r="PAK17" s="14"/>
      <c r="PAL17" s="14"/>
      <c r="PAM17" s="14"/>
      <c r="PAN17" s="14"/>
      <c r="PAO17" s="14"/>
      <c r="PAP17" s="14"/>
      <c r="PAQ17" s="14"/>
      <c r="PAR17" s="14"/>
      <c r="PAS17" s="14"/>
      <c r="PAT17" s="14"/>
      <c r="PAU17" s="14"/>
      <c r="PAV17" s="14"/>
      <c r="PAW17" s="14"/>
      <c r="PAX17" s="14"/>
      <c r="PAY17" s="14"/>
      <c r="PAZ17" s="14"/>
      <c r="PBA17" s="14"/>
      <c r="PBB17" s="14"/>
      <c r="PBC17" s="14"/>
      <c r="PBD17" s="14"/>
      <c r="PBE17" s="14"/>
      <c r="PBF17" s="14"/>
      <c r="PBG17" s="14"/>
      <c r="PBH17" s="14"/>
      <c r="PBI17" s="14"/>
      <c r="PBJ17" s="14"/>
      <c r="PBK17" s="14"/>
      <c r="PBL17" s="14"/>
      <c r="PBM17" s="14"/>
      <c r="PBN17" s="14"/>
      <c r="PBO17" s="14"/>
      <c r="PBP17" s="14"/>
      <c r="PBQ17" s="14"/>
      <c r="PBR17" s="14"/>
      <c r="PBS17" s="14"/>
      <c r="PBT17" s="14"/>
      <c r="PBU17" s="14"/>
      <c r="PBV17" s="14"/>
      <c r="PBW17" s="14"/>
      <c r="PBX17" s="14"/>
      <c r="PBY17" s="14"/>
      <c r="PBZ17" s="14"/>
      <c r="PCA17" s="14"/>
      <c r="PCB17" s="14"/>
      <c r="PCC17" s="14"/>
      <c r="PCD17" s="14"/>
      <c r="PCE17" s="14"/>
      <c r="PCF17" s="14"/>
      <c r="PCG17" s="14"/>
      <c r="PCH17" s="14"/>
      <c r="PCI17" s="14"/>
      <c r="PCJ17" s="14"/>
      <c r="PCK17" s="14"/>
      <c r="PCL17" s="14"/>
      <c r="PCM17" s="14"/>
      <c r="PCN17" s="14"/>
      <c r="PCO17" s="14"/>
      <c r="PCP17" s="14"/>
      <c r="PCQ17" s="14"/>
      <c r="PCR17" s="14"/>
      <c r="PCS17" s="14"/>
      <c r="PCT17" s="14"/>
      <c r="PCU17" s="14"/>
      <c r="PCV17" s="14"/>
      <c r="PCW17" s="14"/>
      <c r="PCX17" s="14"/>
      <c r="PCY17" s="14"/>
      <c r="PCZ17" s="14"/>
      <c r="PDA17" s="14"/>
      <c r="PDB17" s="14"/>
      <c r="PDC17" s="14"/>
      <c r="PDD17" s="14"/>
      <c r="PDE17" s="14"/>
      <c r="PDF17" s="14"/>
      <c r="PDG17" s="14"/>
      <c r="PDH17" s="14"/>
      <c r="PDI17" s="14"/>
      <c r="PDJ17" s="14"/>
      <c r="PDK17" s="14"/>
      <c r="PDL17" s="14"/>
      <c r="PDM17" s="14"/>
      <c r="PDN17" s="14"/>
      <c r="PDO17" s="14"/>
      <c r="PDP17" s="14"/>
      <c r="PDQ17" s="14"/>
      <c r="PDR17" s="14"/>
      <c r="PDS17" s="14"/>
      <c r="PDT17" s="14"/>
      <c r="PDU17" s="14"/>
      <c r="PDV17" s="14"/>
      <c r="PDW17" s="14"/>
      <c r="PDX17" s="14"/>
      <c r="PDY17" s="14"/>
      <c r="PDZ17" s="14"/>
      <c r="PEA17" s="14"/>
      <c r="PEB17" s="14"/>
      <c r="PEC17" s="14"/>
      <c r="PED17" s="14"/>
      <c r="PEE17" s="14"/>
      <c r="PEF17" s="14"/>
      <c r="PEG17" s="14"/>
      <c r="PEH17" s="14"/>
      <c r="PEI17" s="14"/>
      <c r="PEJ17" s="14"/>
      <c r="PEK17" s="14"/>
      <c r="PEL17" s="14"/>
      <c r="PEM17" s="14"/>
      <c r="PEN17" s="14"/>
      <c r="PEO17" s="14"/>
      <c r="PEP17" s="14"/>
      <c r="PEQ17" s="14"/>
      <c r="PER17" s="14"/>
      <c r="PES17" s="14"/>
      <c r="PET17" s="14"/>
      <c r="PEU17" s="14"/>
      <c r="PEV17" s="14"/>
      <c r="PEW17" s="14"/>
      <c r="PEX17" s="14"/>
      <c r="PEY17" s="14"/>
      <c r="PEZ17" s="14"/>
      <c r="PFA17" s="14"/>
      <c r="PFB17" s="14"/>
      <c r="PFC17" s="14"/>
      <c r="PFD17" s="14"/>
      <c r="PFE17" s="14"/>
      <c r="PFF17" s="14"/>
      <c r="PFG17" s="14"/>
      <c r="PFH17" s="14"/>
      <c r="PFI17" s="14"/>
      <c r="PFJ17" s="14"/>
      <c r="PFK17" s="14"/>
      <c r="PFL17" s="14"/>
      <c r="PFM17" s="14"/>
      <c r="PFN17" s="14"/>
      <c r="PFO17" s="14"/>
      <c r="PFP17" s="14"/>
      <c r="PFQ17" s="14"/>
      <c r="PFR17" s="14"/>
      <c r="PFS17" s="14"/>
      <c r="PFT17" s="14"/>
      <c r="PFU17" s="14"/>
      <c r="PFV17" s="14"/>
      <c r="PFW17" s="14"/>
      <c r="PFX17" s="14"/>
      <c r="PFY17" s="14"/>
      <c r="PFZ17" s="14"/>
      <c r="PGA17" s="14"/>
      <c r="PGB17" s="14"/>
      <c r="PGC17" s="14"/>
      <c r="PGD17" s="14"/>
      <c r="PGE17" s="14"/>
      <c r="PGF17" s="14"/>
      <c r="PGG17" s="14"/>
      <c r="PGH17" s="14"/>
      <c r="PGI17" s="14"/>
      <c r="PGJ17" s="14"/>
      <c r="PGK17" s="14"/>
      <c r="PGL17" s="14"/>
      <c r="PGM17" s="14"/>
      <c r="PGN17" s="14"/>
      <c r="PGO17" s="14"/>
      <c r="PGP17" s="14"/>
      <c r="PGQ17" s="14"/>
      <c r="PGR17" s="14"/>
      <c r="PGS17" s="14"/>
      <c r="PGT17" s="14"/>
      <c r="PGU17" s="14"/>
      <c r="PGV17" s="14"/>
      <c r="PGW17" s="14"/>
      <c r="PGX17" s="14"/>
      <c r="PGY17" s="14"/>
      <c r="PGZ17" s="14"/>
      <c r="PHA17" s="14"/>
      <c r="PHB17" s="14"/>
      <c r="PHC17" s="14"/>
      <c r="PHD17" s="14"/>
      <c r="PHE17" s="14"/>
      <c r="PHF17" s="14"/>
      <c r="PHG17" s="14"/>
      <c r="PHH17" s="14"/>
      <c r="PHI17" s="14"/>
      <c r="PHJ17" s="14"/>
      <c r="PHK17" s="14"/>
      <c r="PHL17" s="14"/>
      <c r="PHM17" s="14"/>
      <c r="PHN17" s="14"/>
      <c r="PHO17" s="14"/>
      <c r="PHP17" s="14"/>
      <c r="PHQ17" s="14"/>
      <c r="PHR17" s="14"/>
      <c r="PHS17" s="14"/>
      <c r="PHT17" s="14"/>
      <c r="PHU17" s="14"/>
      <c r="PHV17" s="14"/>
      <c r="PHW17" s="14"/>
      <c r="PHX17" s="14"/>
      <c r="PHY17" s="14"/>
      <c r="PHZ17" s="14"/>
      <c r="PIA17" s="14"/>
      <c r="PIB17" s="14"/>
      <c r="PIC17" s="14"/>
      <c r="PID17" s="14"/>
      <c r="PIE17" s="14"/>
      <c r="PIF17" s="14"/>
      <c r="PIG17" s="14"/>
      <c r="PIH17" s="14"/>
      <c r="PII17" s="14"/>
      <c r="PIJ17" s="14"/>
      <c r="PIK17" s="14"/>
      <c r="PIL17" s="14"/>
      <c r="PIM17" s="14"/>
      <c r="PIN17" s="14"/>
      <c r="PIO17" s="14"/>
      <c r="PIP17" s="14"/>
      <c r="PIQ17" s="14"/>
      <c r="PIR17" s="14"/>
      <c r="PIS17" s="14"/>
      <c r="PIT17" s="14"/>
      <c r="PIU17" s="14"/>
      <c r="PIV17" s="14"/>
      <c r="PIW17" s="14"/>
      <c r="PIX17" s="14"/>
      <c r="PIY17" s="14"/>
      <c r="PIZ17" s="14"/>
      <c r="PJA17" s="14"/>
      <c r="PJB17" s="14"/>
      <c r="PJC17" s="14"/>
      <c r="PJD17" s="14"/>
      <c r="PJE17" s="14"/>
      <c r="PJF17" s="14"/>
      <c r="PJG17" s="14"/>
      <c r="PJH17" s="14"/>
      <c r="PJI17" s="14"/>
      <c r="PJJ17" s="14"/>
      <c r="PJK17" s="14"/>
      <c r="PJL17" s="14"/>
      <c r="PJM17" s="14"/>
      <c r="PJN17" s="14"/>
      <c r="PJO17" s="14"/>
      <c r="PJP17" s="14"/>
      <c r="PJQ17" s="14"/>
      <c r="PJR17" s="14"/>
      <c r="PJS17" s="14"/>
      <c r="PJT17" s="14"/>
      <c r="PJU17" s="14"/>
      <c r="PJV17" s="14"/>
      <c r="PJW17" s="14"/>
      <c r="PJX17" s="14"/>
      <c r="PJY17" s="14"/>
      <c r="PJZ17" s="14"/>
      <c r="PKA17" s="14"/>
      <c r="PKB17" s="14"/>
      <c r="PKC17" s="14"/>
      <c r="PKD17" s="14"/>
      <c r="PKE17" s="14"/>
      <c r="PKF17" s="14"/>
      <c r="PKG17" s="14"/>
      <c r="PKH17" s="14"/>
      <c r="PKI17" s="14"/>
      <c r="PKJ17" s="14"/>
      <c r="PKK17" s="14"/>
      <c r="PKL17" s="14"/>
      <c r="PKM17" s="14"/>
      <c r="PKN17" s="14"/>
      <c r="PKO17" s="14"/>
      <c r="PKP17" s="14"/>
      <c r="PKQ17" s="14"/>
      <c r="PKR17" s="14"/>
      <c r="PKS17" s="14"/>
      <c r="PKT17" s="14"/>
      <c r="PKU17" s="14"/>
      <c r="PKV17" s="14"/>
      <c r="PKW17" s="14"/>
      <c r="PKX17" s="14"/>
      <c r="PKY17" s="14"/>
      <c r="PKZ17" s="14"/>
      <c r="PLA17" s="14"/>
      <c r="PLB17" s="14"/>
      <c r="PLC17" s="14"/>
      <c r="PLD17" s="14"/>
      <c r="PLE17" s="14"/>
      <c r="PLF17" s="14"/>
      <c r="PLG17" s="14"/>
      <c r="PLH17" s="14"/>
      <c r="PLI17" s="14"/>
      <c r="PLJ17" s="14"/>
      <c r="PLK17" s="14"/>
      <c r="PLL17" s="14"/>
      <c r="PLM17" s="14"/>
      <c r="PLN17" s="14"/>
      <c r="PLO17" s="14"/>
      <c r="PLP17" s="14"/>
      <c r="PLQ17" s="14"/>
      <c r="PLR17" s="14"/>
      <c r="PLS17" s="14"/>
      <c r="PLT17" s="14"/>
      <c r="PLU17" s="14"/>
      <c r="PLV17" s="14"/>
      <c r="PLW17" s="14"/>
      <c r="PLX17" s="14"/>
      <c r="PLY17" s="14"/>
      <c r="PLZ17" s="14"/>
      <c r="PMA17" s="14"/>
      <c r="PMB17" s="14"/>
      <c r="PMC17" s="14"/>
      <c r="PMD17" s="14"/>
      <c r="PME17" s="14"/>
      <c r="PMF17" s="14"/>
      <c r="PMG17" s="14"/>
      <c r="PMH17" s="14"/>
      <c r="PMI17" s="14"/>
      <c r="PMJ17" s="14"/>
      <c r="PMK17" s="14"/>
      <c r="PML17" s="14"/>
      <c r="PMM17" s="14"/>
      <c r="PMN17" s="14"/>
      <c r="PMO17" s="14"/>
      <c r="PMP17" s="14"/>
      <c r="PMQ17" s="14"/>
      <c r="PMR17" s="14"/>
      <c r="PMS17" s="14"/>
      <c r="PMT17" s="14"/>
      <c r="PMU17" s="14"/>
      <c r="PMV17" s="14"/>
      <c r="PMW17" s="14"/>
      <c r="PMX17" s="14"/>
      <c r="PMY17" s="14"/>
      <c r="PMZ17" s="14"/>
      <c r="PNA17" s="14"/>
      <c r="PNB17" s="14"/>
      <c r="PNC17" s="14"/>
      <c r="PND17" s="14"/>
      <c r="PNE17" s="14"/>
      <c r="PNF17" s="14"/>
      <c r="PNG17" s="14"/>
      <c r="PNH17" s="14"/>
      <c r="PNI17" s="14"/>
      <c r="PNJ17" s="14"/>
      <c r="PNK17" s="14"/>
      <c r="PNL17" s="14"/>
      <c r="PNM17" s="14"/>
      <c r="PNN17" s="14"/>
      <c r="PNO17" s="14"/>
      <c r="PNP17" s="14"/>
      <c r="PNQ17" s="14"/>
      <c r="PNR17" s="14"/>
      <c r="PNS17" s="14"/>
      <c r="PNT17" s="14"/>
      <c r="PNU17" s="14"/>
      <c r="PNV17" s="14"/>
      <c r="PNW17" s="14"/>
      <c r="PNX17" s="14"/>
      <c r="PNY17" s="14"/>
      <c r="PNZ17" s="14"/>
      <c r="POA17" s="14"/>
      <c r="POB17" s="14"/>
      <c r="POC17" s="14"/>
      <c r="POD17" s="14"/>
      <c r="POE17" s="14"/>
      <c r="POF17" s="14"/>
      <c r="POG17" s="14"/>
      <c r="POH17" s="14"/>
      <c r="POI17" s="14"/>
      <c r="POJ17" s="14"/>
      <c r="POK17" s="14"/>
      <c r="POL17" s="14"/>
      <c r="POM17" s="14"/>
      <c r="PON17" s="14"/>
      <c r="POO17" s="14"/>
      <c r="POP17" s="14"/>
      <c r="POQ17" s="14"/>
      <c r="POR17" s="14"/>
      <c r="POS17" s="14"/>
      <c r="POT17" s="14"/>
      <c r="POU17" s="14"/>
      <c r="POV17" s="14"/>
      <c r="POW17" s="14"/>
      <c r="POX17" s="14"/>
      <c r="POY17" s="14"/>
      <c r="POZ17" s="14"/>
      <c r="PPA17" s="14"/>
      <c r="PPB17" s="14"/>
      <c r="PPC17" s="14"/>
      <c r="PPD17" s="14"/>
      <c r="PPE17" s="14"/>
      <c r="PPF17" s="14"/>
      <c r="PPG17" s="14"/>
      <c r="PPH17" s="14"/>
      <c r="PPI17" s="14"/>
      <c r="PPJ17" s="14"/>
      <c r="PPK17" s="14"/>
      <c r="PPL17" s="14"/>
      <c r="PPM17" s="14"/>
      <c r="PPN17" s="14"/>
      <c r="PPO17" s="14"/>
      <c r="PPP17" s="14"/>
      <c r="PPQ17" s="14"/>
      <c r="PPR17" s="14"/>
      <c r="PPS17" s="14"/>
      <c r="PPT17" s="14"/>
      <c r="PPU17" s="14"/>
      <c r="PPV17" s="14"/>
      <c r="PPW17" s="14"/>
      <c r="PPX17" s="14"/>
      <c r="PPY17" s="14"/>
      <c r="PPZ17" s="14"/>
      <c r="PQA17" s="14"/>
      <c r="PQB17" s="14"/>
      <c r="PQC17" s="14"/>
      <c r="PQD17" s="14"/>
      <c r="PQE17" s="14"/>
      <c r="PQF17" s="14"/>
      <c r="PQG17" s="14"/>
      <c r="PQH17" s="14"/>
      <c r="PQI17" s="14"/>
      <c r="PQJ17" s="14"/>
      <c r="PQK17" s="14"/>
      <c r="PQL17" s="14"/>
      <c r="PQM17" s="14"/>
      <c r="PQN17" s="14"/>
      <c r="PQO17" s="14"/>
      <c r="PQP17" s="14"/>
      <c r="PQQ17" s="14"/>
      <c r="PQR17" s="14"/>
      <c r="PQS17" s="14"/>
      <c r="PQT17" s="14"/>
      <c r="PQU17" s="14"/>
      <c r="PQV17" s="14"/>
      <c r="PQW17" s="14"/>
      <c r="PQX17" s="14"/>
      <c r="PQY17" s="14"/>
      <c r="PQZ17" s="14"/>
      <c r="PRA17" s="14"/>
      <c r="PRB17" s="14"/>
      <c r="PRC17" s="14"/>
      <c r="PRD17" s="14"/>
      <c r="PRE17" s="14"/>
      <c r="PRF17" s="14"/>
      <c r="PRG17" s="14"/>
      <c r="PRH17" s="14"/>
      <c r="PRI17" s="14"/>
      <c r="PRJ17" s="14"/>
      <c r="PRK17" s="14"/>
      <c r="PRL17" s="14"/>
      <c r="PRM17" s="14"/>
      <c r="PRN17" s="14"/>
      <c r="PRO17" s="14"/>
      <c r="PRP17" s="14"/>
      <c r="PRQ17" s="14"/>
      <c r="PRR17" s="14"/>
      <c r="PRS17" s="14"/>
      <c r="PRT17" s="14"/>
      <c r="PRU17" s="14"/>
      <c r="PRV17" s="14"/>
      <c r="PRW17" s="14"/>
      <c r="PRX17" s="14"/>
      <c r="PRY17" s="14"/>
      <c r="PRZ17" s="14"/>
      <c r="PSA17" s="14"/>
      <c r="PSB17" s="14"/>
      <c r="PSC17" s="14"/>
      <c r="PSD17" s="14"/>
      <c r="PSE17" s="14"/>
      <c r="PSF17" s="14"/>
      <c r="PSG17" s="14"/>
      <c r="PSH17" s="14"/>
      <c r="PSI17" s="14"/>
      <c r="PSJ17" s="14"/>
      <c r="PSK17" s="14"/>
      <c r="PSL17" s="14"/>
      <c r="PSM17" s="14"/>
      <c r="PSN17" s="14"/>
      <c r="PSO17" s="14"/>
      <c r="PSP17" s="14"/>
      <c r="PSQ17" s="14"/>
      <c r="PSR17" s="14"/>
      <c r="PSS17" s="14"/>
      <c r="PST17" s="14"/>
      <c r="PSU17" s="14"/>
      <c r="PSV17" s="14"/>
      <c r="PSW17" s="14"/>
      <c r="PSX17" s="14"/>
      <c r="PSY17" s="14"/>
      <c r="PSZ17" s="14"/>
      <c r="PTA17" s="14"/>
      <c r="PTB17" s="14"/>
      <c r="PTC17" s="14"/>
      <c r="PTD17" s="14"/>
      <c r="PTE17" s="14"/>
      <c r="PTF17" s="14"/>
      <c r="PTG17" s="14"/>
      <c r="PTH17" s="14"/>
      <c r="PTI17" s="14"/>
      <c r="PTJ17" s="14"/>
      <c r="PTK17" s="14"/>
      <c r="PTL17" s="14"/>
      <c r="PTM17" s="14"/>
      <c r="PTN17" s="14"/>
      <c r="PTO17" s="14"/>
      <c r="PTP17" s="14"/>
      <c r="PTQ17" s="14"/>
      <c r="PTR17" s="14"/>
      <c r="PTS17" s="14"/>
      <c r="PTT17" s="14"/>
      <c r="PTU17" s="14"/>
      <c r="PTV17" s="14"/>
      <c r="PTW17" s="14"/>
      <c r="PTX17" s="14"/>
      <c r="PTY17" s="14"/>
      <c r="PTZ17" s="14"/>
      <c r="PUA17" s="14"/>
      <c r="PUB17" s="14"/>
      <c r="PUC17" s="14"/>
      <c r="PUD17" s="14"/>
      <c r="PUE17" s="14"/>
      <c r="PUF17" s="14"/>
      <c r="PUG17" s="14"/>
      <c r="PUH17" s="14"/>
      <c r="PUI17" s="14"/>
      <c r="PUJ17" s="14"/>
      <c r="PUK17" s="14"/>
      <c r="PUL17" s="14"/>
      <c r="PUM17" s="14"/>
      <c r="PUN17" s="14"/>
      <c r="PUO17" s="14"/>
      <c r="PUP17" s="14"/>
      <c r="PUQ17" s="14"/>
      <c r="PUR17" s="14"/>
      <c r="PUS17" s="14"/>
      <c r="PUT17" s="14"/>
      <c r="PUU17" s="14"/>
      <c r="PUV17" s="14"/>
      <c r="PUW17" s="14"/>
      <c r="PUX17" s="14"/>
      <c r="PUY17" s="14"/>
      <c r="PUZ17" s="14"/>
      <c r="PVA17" s="14"/>
      <c r="PVB17" s="14"/>
      <c r="PVC17" s="14"/>
      <c r="PVD17" s="14"/>
      <c r="PVE17" s="14"/>
      <c r="PVF17" s="14"/>
      <c r="PVG17" s="14"/>
      <c r="PVH17" s="14"/>
      <c r="PVI17" s="14"/>
      <c r="PVJ17" s="14"/>
      <c r="PVK17" s="14"/>
      <c r="PVL17" s="14"/>
      <c r="PVM17" s="14"/>
      <c r="PVN17" s="14"/>
      <c r="PVO17" s="14"/>
      <c r="PVP17" s="14"/>
      <c r="PVQ17" s="14"/>
      <c r="PVR17" s="14"/>
      <c r="PVS17" s="14"/>
      <c r="PVT17" s="14"/>
      <c r="PVU17" s="14"/>
      <c r="PVV17" s="14"/>
      <c r="PVW17" s="14"/>
      <c r="PVX17" s="14"/>
      <c r="PVY17" s="14"/>
      <c r="PVZ17" s="14"/>
      <c r="PWA17" s="14"/>
      <c r="PWB17" s="14"/>
      <c r="PWC17" s="14"/>
      <c r="PWD17" s="14"/>
      <c r="PWE17" s="14"/>
      <c r="PWF17" s="14"/>
      <c r="PWG17" s="14"/>
      <c r="PWH17" s="14"/>
      <c r="PWI17" s="14"/>
      <c r="PWJ17" s="14"/>
      <c r="PWK17" s="14"/>
      <c r="PWL17" s="14"/>
      <c r="PWM17" s="14"/>
      <c r="PWN17" s="14"/>
      <c r="PWO17" s="14"/>
      <c r="PWP17" s="14"/>
      <c r="PWQ17" s="14"/>
      <c r="PWR17" s="14"/>
      <c r="PWS17" s="14"/>
      <c r="PWT17" s="14"/>
      <c r="PWU17" s="14"/>
      <c r="PWV17" s="14"/>
      <c r="PWW17" s="14"/>
      <c r="PWX17" s="14"/>
      <c r="PWY17" s="14"/>
      <c r="PWZ17" s="14"/>
      <c r="PXA17" s="14"/>
      <c r="PXB17" s="14"/>
      <c r="PXC17" s="14"/>
      <c r="PXD17" s="14"/>
      <c r="PXE17" s="14"/>
      <c r="PXF17" s="14"/>
      <c r="PXG17" s="14"/>
      <c r="PXH17" s="14"/>
      <c r="PXI17" s="14"/>
      <c r="PXJ17" s="14"/>
      <c r="PXK17" s="14"/>
      <c r="PXL17" s="14"/>
      <c r="PXM17" s="14"/>
      <c r="PXN17" s="14"/>
      <c r="PXO17" s="14"/>
      <c r="PXP17" s="14"/>
      <c r="PXQ17" s="14"/>
      <c r="PXR17" s="14"/>
      <c r="PXS17" s="14"/>
      <c r="PXT17" s="14"/>
      <c r="PXU17" s="14"/>
      <c r="PXV17" s="14"/>
      <c r="PXW17" s="14"/>
      <c r="PXX17" s="14"/>
      <c r="PXY17" s="14"/>
      <c r="PXZ17" s="14"/>
      <c r="PYA17" s="14"/>
      <c r="PYB17" s="14"/>
      <c r="PYC17" s="14"/>
      <c r="PYD17" s="14"/>
      <c r="PYE17" s="14"/>
      <c r="PYF17" s="14"/>
      <c r="PYG17" s="14"/>
      <c r="PYH17" s="14"/>
      <c r="PYI17" s="14"/>
      <c r="PYJ17" s="14"/>
      <c r="PYK17" s="14"/>
      <c r="PYL17" s="14"/>
      <c r="PYM17" s="14"/>
      <c r="PYN17" s="14"/>
      <c r="PYO17" s="14"/>
      <c r="PYP17" s="14"/>
      <c r="PYQ17" s="14"/>
      <c r="PYR17" s="14"/>
      <c r="PYS17" s="14"/>
      <c r="PYT17" s="14"/>
      <c r="PYU17" s="14"/>
      <c r="PYV17" s="14"/>
      <c r="PYW17" s="14"/>
      <c r="PYX17" s="14"/>
      <c r="PYY17" s="14"/>
      <c r="PYZ17" s="14"/>
      <c r="PZA17" s="14"/>
      <c r="PZB17" s="14"/>
      <c r="PZC17" s="14"/>
      <c r="PZD17" s="14"/>
      <c r="PZE17" s="14"/>
      <c r="PZF17" s="14"/>
      <c r="PZG17" s="14"/>
      <c r="PZH17" s="14"/>
      <c r="PZI17" s="14"/>
      <c r="PZJ17" s="14"/>
      <c r="PZK17" s="14"/>
      <c r="PZL17" s="14"/>
      <c r="PZM17" s="14"/>
      <c r="PZN17" s="14"/>
      <c r="PZO17" s="14"/>
      <c r="PZP17" s="14"/>
      <c r="PZQ17" s="14"/>
      <c r="PZR17" s="14"/>
      <c r="PZS17" s="14"/>
      <c r="PZT17" s="14"/>
      <c r="PZU17" s="14"/>
      <c r="PZV17" s="14"/>
      <c r="PZW17" s="14"/>
      <c r="PZX17" s="14"/>
      <c r="PZY17" s="14"/>
      <c r="PZZ17" s="14"/>
      <c r="QAA17" s="14"/>
      <c r="QAB17" s="14"/>
      <c r="QAC17" s="14"/>
      <c r="QAD17" s="14"/>
      <c r="QAE17" s="14"/>
      <c r="QAF17" s="14"/>
      <c r="QAG17" s="14"/>
      <c r="QAH17" s="14"/>
      <c r="QAI17" s="14"/>
      <c r="QAJ17" s="14"/>
      <c r="QAK17" s="14"/>
      <c r="QAL17" s="14"/>
      <c r="QAM17" s="14"/>
      <c r="QAN17" s="14"/>
      <c r="QAO17" s="14"/>
      <c r="QAP17" s="14"/>
      <c r="QAQ17" s="14"/>
      <c r="QAR17" s="14"/>
      <c r="QAS17" s="14"/>
      <c r="QAT17" s="14"/>
      <c r="QAU17" s="14"/>
      <c r="QAV17" s="14"/>
      <c r="QAW17" s="14"/>
      <c r="QAX17" s="14"/>
      <c r="QAY17" s="14"/>
      <c r="QAZ17" s="14"/>
      <c r="QBA17" s="14"/>
      <c r="QBB17" s="14"/>
      <c r="QBC17" s="14"/>
      <c r="QBD17" s="14"/>
      <c r="QBE17" s="14"/>
      <c r="QBF17" s="14"/>
      <c r="QBG17" s="14"/>
      <c r="QBH17" s="14"/>
      <c r="QBI17" s="14"/>
      <c r="QBJ17" s="14"/>
      <c r="QBK17" s="14"/>
      <c r="QBL17" s="14"/>
      <c r="QBM17" s="14"/>
      <c r="QBN17" s="14"/>
      <c r="QBO17" s="14"/>
      <c r="QBP17" s="14"/>
      <c r="QBQ17" s="14"/>
      <c r="QBR17" s="14"/>
      <c r="QBS17" s="14"/>
      <c r="QBT17" s="14"/>
      <c r="QBU17" s="14"/>
      <c r="QBV17" s="14"/>
      <c r="QBW17" s="14"/>
      <c r="QBX17" s="14"/>
      <c r="QBY17" s="14"/>
      <c r="QBZ17" s="14"/>
      <c r="QCA17" s="14"/>
      <c r="QCB17" s="14"/>
      <c r="QCC17" s="14"/>
      <c r="QCD17" s="14"/>
      <c r="QCE17" s="14"/>
      <c r="QCF17" s="14"/>
      <c r="QCG17" s="14"/>
      <c r="QCH17" s="14"/>
      <c r="QCI17" s="14"/>
      <c r="QCJ17" s="14"/>
      <c r="QCK17" s="14"/>
      <c r="QCL17" s="14"/>
      <c r="QCM17" s="14"/>
      <c r="QCN17" s="14"/>
      <c r="QCO17" s="14"/>
      <c r="QCP17" s="14"/>
      <c r="QCQ17" s="14"/>
      <c r="QCR17" s="14"/>
      <c r="QCS17" s="14"/>
      <c r="QCT17" s="14"/>
      <c r="QCU17" s="14"/>
      <c r="QCV17" s="14"/>
      <c r="QCW17" s="14"/>
      <c r="QCX17" s="14"/>
      <c r="QCY17" s="14"/>
      <c r="QCZ17" s="14"/>
      <c r="QDA17" s="14"/>
      <c r="QDB17" s="14"/>
      <c r="QDC17" s="14"/>
      <c r="QDD17" s="14"/>
      <c r="QDE17" s="14"/>
      <c r="QDF17" s="14"/>
      <c r="QDG17" s="14"/>
      <c r="QDH17" s="14"/>
      <c r="QDI17" s="14"/>
      <c r="QDJ17" s="14"/>
      <c r="QDK17" s="14"/>
      <c r="QDL17" s="14"/>
      <c r="QDM17" s="14"/>
      <c r="QDN17" s="14"/>
      <c r="QDO17" s="14"/>
      <c r="QDP17" s="14"/>
      <c r="QDQ17" s="14"/>
      <c r="QDR17" s="14"/>
      <c r="QDS17" s="14"/>
      <c r="QDT17" s="14"/>
      <c r="QDU17" s="14"/>
      <c r="QDV17" s="14"/>
      <c r="QDW17" s="14"/>
      <c r="QDX17" s="14"/>
      <c r="QDY17" s="14"/>
      <c r="QDZ17" s="14"/>
      <c r="QEA17" s="14"/>
      <c r="QEB17" s="14"/>
      <c r="QEC17" s="14"/>
      <c r="QED17" s="14"/>
      <c r="QEE17" s="14"/>
      <c r="QEF17" s="14"/>
      <c r="QEG17" s="14"/>
      <c r="QEH17" s="14"/>
      <c r="QEI17" s="14"/>
      <c r="QEJ17" s="14"/>
      <c r="QEK17" s="14"/>
      <c r="QEL17" s="14"/>
      <c r="QEM17" s="14"/>
      <c r="QEN17" s="14"/>
      <c r="QEO17" s="14"/>
      <c r="QEP17" s="14"/>
      <c r="QEQ17" s="14"/>
      <c r="QER17" s="14"/>
      <c r="QES17" s="14"/>
      <c r="QET17" s="14"/>
      <c r="QEU17" s="14"/>
      <c r="QEV17" s="14"/>
      <c r="QEW17" s="14"/>
      <c r="QEX17" s="14"/>
      <c r="QEY17" s="14"/>
      <c r="QEZ17" s="14"/>
      <c r="QFA17" s="14"/>
      <c r="QFB17" s="14"/>
      <c r="QFC17" s="14"/>
      <c r="QFD17" s="14"/>
      <c r="QFE17" s="14"/>
      <c r="QFF17" s="14"/>
      <c r="QFG17" s="14"/>
      <c r="QFH17" s="14"/>
      <c r="QFI17" s="14"/>
      <c r="QFJ17" s="14"/>
      <c r="QFK17" s="14"/>
      <c r="QFL17" s="14"/>
      <c r="QFM17" s="14"/>
      <c r="QFN17" s="14"/>
      <c r="QFO17" s="14"/>
      <c r="QFP17" s="14"/>
      <c r="QFQ17" s="14"/>
      <c r="QFR17" s="14"/>
      <c r="QFS17" s="14"/>
      <c r="QFT17" s="14"/>
      <c r="QFU17" s="14"/>
      <c r="QFV17" s="14"/>
      <c r="QFW17" s="14"/>
      <c r="QFX17" s="14"/>
      <c r="QFY17" s="14"/>
      <c r="QFZ17" s="14"/>
      <c r="QGA17" s="14"/>
      <c r="QGB17" s="14"/>
      <c r="QGC17" s="14"/>
      <c r="QGD17" s="14"/>
      <c r="QGE17" s="14"/>
      <c r="QGF17" s="14"/>
      <c r="QGG17" s="14"/>
      <c r="QGH17" s="14"/>
      <c r="QGI17" s="14"/>
      <c r="QGJ17" s="14"/>
      <c r="QGK17" s="14"/>
      <c r="QGL17" s="14"/>
      <c r="QGM17" s="14"/>
      <c r="QGN17" s="14"/>
      <c r="QGO17" s="14"/>
      <c r="QGP17" s="14"/>
      <c r="QGQ17" s="14"/>
      <c r="QGR17" s="14"/>
      <c r="QGS17" s="14"/>
      <c r="QGT17" s="14"/>
      <c r="QGU17" s="14"/>
      <c r="QGV17" s="14"/>
      <c r="QGW17" s="14"/>
      <c r="QGX17" s="14"/>
      <c r="QGY17" s="14"/>
      <c r="QGZ17" s="14"/>
      <c r="QHA17" s="14"/>
      <c r="QHB17" s="14"/>
      <c r="QHC17" s="14"/>
      <c r="QHD17" s="14"/>
      <c r="QHE17" s="14"/>
      <c r="QHF17" s="14"/>
      <c r="QHG17" s="14"/>
      <c r="QHH17" s="14"/>
      <c r="QHI17" s="14"/>
      <c r="QHJ17" s="14"/>
      <c r="QHK17" s="14"/>
      <c r="QHL17" s="14"/>
      <c r="QHM17" s="14"/>
      <c r="QHN17" s="14"/>
      <c r="QHO17" s="14"/>
      <c r="QHP17" s="14"/>
      <c r="QHQ17" s="14"/>
      <c r="QHR17" s="14"/>
      <c r="QHS17" s="14"/>
      <c r="QHT17" s="14"/>
      <c r="QHU17" s="14"/>
      <c r="QHV17" s="14"/>
      <c r="QHW17" s="14"/>
      <c r="QHX17" s="14"/>
      <c r="QHY17" s="14"/>
      <c r="QHZ17" s="14"/>
      <c r="QIA17" s="14"/>
      <c r="QIB17" s="14"/>
      <c r="QIC17" s="14"/>
      <c r="QID17" s="14"/>
      <c r="QIE17" s="14"/>
      <c r="QIF17" s="14"/>
      <c r="QIG17" s="14"/>
      <c r="QIH17" s="14"/>
      <c r="QII17" s="14"/>
      <c r="QIJ17" s="14"/>
      <c r="QIK17" s="14"/>
      <c r="QIL17" s="14"/>
      <c r="QIM17" s="14"/>
      <c r="QIN17" s="14"/>
      <c r="QIO17" s="14"/>
      <c r="QIP17" s="14"/>
      <c r="QIQ17" s="14"/>
      <c r="QIR17" s="14"/>
      <c r="QIS17" s="14"/>
      <c r="QIT17" s="14"/>
      <c r="QIU17" s="14"/>
      <c r="QIV17" s="14"/>
      <c r="QIW17" s="14"/>
      <c r="QIX17" s="14"/>
      <c r="QIY17" s="14"/>
      <c r="QIZ17" s="14"/>
      <c r="QJA17" s="14"/>
      <c r="QJB17" s="14"/>
      <c r="QJC17" s="14"/>
      <c r="QJD17" s="14"/>
      <c r="QJE17" s="14"/>
      <c r="QJF17" s="14"/>
      <c r="QJG17" s="14"/>
      <c r="QJH17" s="14"/>
      <c r="QJI17" s="14"/>
      <c r="QJJ17" s="14"/>
      <c r="QJK17" s="14"/>
      <c r="QJL17" s="14"/>
      <c r="QJM17" s="14"/>
      <c r="QJN17" s="14"/>
      <c r="QJO17" s="14"/>
      <c r="QJP17" s="14"/>
      <c r="QJQ17" s="14"/>
      <c r="QJR17" s="14"/>
      <c r="QJS17" s="14"/>
      <c r="QJT17" s="14"/>
      <c r="QJU17" s="14"/>
      <c r="QJV17" s="14"/>
      <c r="QJW17" s="14"/>
      <c r="QJX17" s="14"/>
      <c r="QJY17" s="14"/>
      <c r="QJZ17" s="14"/>
      <c r="QKA17" s="14"/>
      <c r="QKB17" s="14"/>
      <c r="QKC17" s="14"/>
      <c r="QKD17" s="14"/>
      <c r="QKE17" s="14"/>
      <c r="QKF17" s="14"/>
      <c r="QKG17" s="14"/>
      <c r="QKH17" s="14"/>
      <c r="QKI17" s="14"/>
      <c r="QKJ17" s="14"/>
      <c r="QKK17" s="14"/>
      <c r="QKL17" s="14"/>
      <c r="QKM17" s="14"/>
      <c r="QKN17" s="14"/>
      <c r="QKO17" s="14"/>
      <c r="QKP17" s="14"/>
      <c r="QKQ17" s="14"/>
      <c r="QKR17" s="14"/>
      <c r="QKS17" s="14"/>
      <c r="QKT17" s="14"/>
      <c r="QKU17" s="14"/>
      <c r="QKV17" s="14"/>
      <c r="QKW17" s="14"/>
      <c r="QKX17" s="14"/>
      <c r="QKY17" s="14"/>
      <c r="QKZ17" s="14"/>
      <c r="QLA17" s="14"/>
      <c r="QLB17" s="14"/>
      <c r="QLC17" s="14"/>
      <c r="QLD17" s="14"/>
      <c r="QLE17" s="14"/>
      <c r="QLF17" s="14"/>
      <c r="QLG17" s="14"/>
      <c r="QLH17" s="14"/>
      <c r="QLI17" s="14"/>
      <c r="QLJ17" s="14"/>
      <c r="QLK17" s="14"/>
      <c r="QLL17" s="14"/>
      <c r="QLM17" s="14"/>
      <c r="QLN17" s="14"/>
      <c r="QLO17" s="14"/>
      <c r="QLP17" s="14"/>
      <c r="QLQ17" s="14"/>
      <c r="QLR17" s="14"/>
      <c r="QLS17" s="14"/>
      <c r="QLT17" s="14"/>
      <c r="QLU17" s="14"/>
      <c r="QLV17" s="14"/>
      <c r="QLW17" s="14"/>
      <c r="QLX17" s="14"/>
      <c r="QLY17" s="14"/>
      <c r="QLZ17" s="14"/>
      <c r="QMA17" s="14"/>
      <c r="QMB17" s="14"/>
      <c r="QMC17" s="14"/>
      <c r="QMD17" s="14"/>
      <c r="QME17" s="14"/>
      <c r="QMF17" s="14"/>
      <c r="QMG17" s="14"/>
      <c r="QMH17" s="14"/>
      <c r="QMI17" s="14"/>
      <c r="QMJ17" s="14"/>
      <c r="QMK17" s="14"/>
      <c r="QML17" s="14"/>
      <c r="QMM17" s="14"/>
      <c r="QMN17" s="14"/>
      <c r="QMO17" s="14"/>
      <c r="QMP17" s="14"/>
      <c r="QMQ17" s="14"/>
      <c r="QMR17" s="14"/>
      <c r="QMS17" s="14"/>
      <c r="QMT17" s="14"/>
      <c r="QMU17" s="14"/>
      <c r="QMV17" s="14"/>
      <c r="QMW17" s="14"/>
      <c r="QMX17" s="14"/>
      <c r="QMY17" s="14"/>
      <c r="QMZ17" s="14"/>
      <c r="QNA17" s="14"/>
      <c r="QNB17" s="14"/>
      <c r="QNC17" s="14"/>
      <c r="QND17" s="14"/>
      <c r="QNE17" s="14"/>
      <c r="QNF17" s="14"/>
      <c r="QNG17" s="14"/>
      <c r="QNH17" s="14"/>
      <c r="QNI17" s="14"/>
      <c r="QNJ17" s="14"/>
      <c r="QNK17" s="14"/>
      <c r="QNL17" s="14"/>
      <c r="QNM17" s="14"/>
      <c r="QNN17" s="14"/>
      <c r="QNO17" s="14"/>
      <c r="QNP17" s="14"/>
      <c r="QNQ17" s="14"/>
      <c r="QNR17" s="14"/>
      <c r="QNS17" s="14"/>
      <c r="QNT17" s="14"/>
      <c r="QNU17" s="14"/>
      <c r="QNV17" s="14"/>
      <c r="QNW17" s="14"/>
      <c r="QNX17" s="14"/>
      <c r="QNY17" s="14"/>
      <c r="QNZ17" s="14"/>
      <c r="QOA17" s="14"/>
      <c r="QOB17" s="14"/>
      <c r="QOC17" s="14"/>
      <c r="QOD17" s="14"/>
      <c r="QOE17" s="14"/>
      <c r="QOF17" s="14"/>
      <c r="QOG17" s="14"/>
      <c r="QOH17" s="14"/>
      <c r="QOI17" s="14"/>
      <c r="QOJ17" s="14"/>
      <c r="QOK17" s="14"/>
      <c r="QOL17" s="14"/>
      <c r="QOM17" s="14"/>
      <c r="QON17" s="14"/>
      <c r="QOO17" s="14"/>
      <c r="QOP17" s="14"/>
      <c r="QOQ17" s="14"/>
      <c r="QOR17" s="14"/>
      <c r="QOS17" s="14"/>
      <c r="QOT17" s="14"/>
      <c r="QOU17" s="14"/>
      <c r="QOV17" s="14"/>
      <c r="QOW17" s="14"/>
      <c r="QOX17" s="14"/>
      <c r="QOY17" s="14"/>
      <c r="QOZ17" s="14"/>
      <c r="QPA17" s="14"/>
      <c r="QPB17" s="14"/>
      <c r="QPC17" s="14"/>
      <c r="QPD17" s="14"/>
      <c r="QPE17" s="14"/>
      <c r="QPF17" s="14"/>
      <c r="QPG17" s="14"/>
      <c r="QPH17" s="14"/>
      <c r="QPI17" s="14"/>
      <c r="QPJ17" s="14"/>
      <c r="QPK17" s="14"/>
      <c r="QPL17" s="14"/>
      <c r="QPM17" s="14"/>
      <c r="QPN17" s="14"/>
      <c r="QPO17" s="14"/>
      <c r="QPP17" s="14"/>
      <c r="QPQ17" s="14"/>
      <c r="QPR17" s="14"/>
      <c r="QPS17" s="14"/>
      <c r="QPT17" s="14"/>
      <c r="QPU17" s="14"/>
      <c r="QPV17" s="14"/>
      <c r="QPW17" s="14"/>
      <c r="QPX17" s="14"/>
      <c r="QPY17" s="14"/>
      <c r="QPZ17" s="14"/>
      <c r="QQA17" s="14"/>
      <c r="QQB17" s="14"/>
      <c r="QQC17" s="14"/>
      <c r="QQD17" s="14"/>
      <c r="QQE17" s="14"/>
      <c r="QQF17" s="14"/>
      <c r="QQG17" s="14"/>
      <c r="QQH17" s="14"/>
      <c r="QQI17" s="14"/>
      <c r="QQJ17" s="14"/>
      <c r="QQK17" s="14"/>
      <c r="QQL17" s="14"/>
      <c r="QQM17" s="14"/>
      <c r="QQN17" s="14"/>
      <c r="QQO17" s="14"/>
      <c r="QQP17" s="14"/>
      <c r="QQQ17" s="14"/>
      <c r="QQR17" s="14"/>
      <c r="QQS17" s="14"/>
      <c r="QQT17" s="14"/>
      <c r="QQU17" s="14"/>
      <c r="QQV17" s="14"/>
      <c r="QQW17" s="14"/>
      <c r="QQX17" s="14"/>
      <c r="QQY17" s="14"/>
      <c r="QQZ17" s="14"/>
      <c r="QRA17" s="14"/>
      <c r="QRB17" s="14"/>
      <c r="QRC17" s="14"/>
      <c r="QRD17" s="14"/>
      <c r="QRE17" s="14"/>
      <c r="QRF17" s="14"/>
      <c r="QRG17" s="14"/>
      <c r="QRH17" s="14"/>
      <c r="QRI17" s="14"/>
      <c r="QRJ17" s="14"/>
      <c r="QRK17" s="14"/>
      <c r="QRL17" s="14"/>
      <c r="QRM17" s="14"/>
      <c r="QRN17" s="14"/>
      <c r="QRO17" s="14"/>
      <c r="QRP17" s="14"/>
      <c r="QRQ17" s="14"/>
      <c r="QRR17" s="14"/>
      <c r="QRS17" s="14"/>
      <c r="QRT17" s="14"/>
      <c r="QRU17" s="14"/>
      <c r="QRV17" s="14"/>
      <c r="QRW17" s="14"/>
      <c r="QRX17" s="14"/>
      <c r="QRY17" s="14"/>
      <c r="QRZ17" s="14"/>
      <c r="QSA17" s="14"/>
      <c r="QSB17" s="14"/>
      <c r="QSC17" s="14"/>
      <c r="QSD17" s="14"/>
      <c r="QSE17" s="14"/>
      <c r="QSF17" s="14"/>
      <c r="QSG17" s="14"/>
      <c r="QSH17" s="14"/>
      <c r="QSI17" s="14"/>
      <c r="QSJ17" s="14"/>
      <c r="QSK17" s="14"/>
      <c r="QSL17" s="14"/>
      <c r="QSM17" s="14"/>
      <c r="QSN17" s="14"/>
      <c r="QSO17" s="14"/>
      <c r="QSP17" s="14"/>
      <c r="QSQ17" s="14"/>
      <c r="QSR17" s="14"/>
      <c r="QSS17" s="14"/>
      <c r="QST17" s="14"/>
      <c r="QSU17" s="14"/>
      <c r="QSV17" s="14"/>
      <c r="QSW17" s="14"/>
      <c r="QSX17" s="14"/>
      <c r="QSY17" s="14"/>
      <c r="QSZ17" s="14"/>
      <c r="QTA17" s="14"/>
      <c r="QTB17" s="14"/>
      <c r="QTC17" s="14"/>
      <c r="QTD17" s="14"/>
      <c r="QTE17" s="14"/>
      <c r="QTF17" s="14"/>
      <c r="QTG17" s="14"/>
      <c r="QTH17" s="14"/>
      <c r="QTI17" s="14"/>
      <c r="QTJ17" s="14"/>
      <c r="QTK17" s="14"/>
      <c r="QTL17" s="14"/>
      <c r="QTM17" s="14"/>
      <c r="QTN17" s="14"/>
      <c r="QTO17" s="14"/>
      <c r="QTP17" s="14"/>
      <c r="QTQ17" s="14"/>
      <c r="QTR17" s="14"/>
      <c r="QTS17" s="14"/>
      <c r="QTT17" s="14"/>
      <c r="QTU17" s="14"/>
      <c r="QTV17" s="14"/>
      <c r="QTW17" s="14"/>
      <c r="QTX17" s="14"/>
      <c r="QTY17" s="14"/>
      <c r="QTZ17" s="14"/>
      <c r="QUA17" s="14"/>
      <c r="QUB17" s="14"/>
      <c r="QUC17" s="14"/>
      <c r="QUD17" s="14"/>
      <c r="QUE17" s="14"/>
      <c r="QUF17" s="14"/>
      <c r="QUG17" s="14"/>
      <c r="QUH17" s="14"/>
      <c r="QUI17" s="14"/>
      <c r="QUJ17" s="14"/>
      <c r="QUK17" s="14"/>
      <c r="QUL17" s="14"/>
      <c r="QUM17" s="14"/>
      <c r="QUN17" s="14"/>
      <c r="QUO17" s="14"/>
      <c r="QUP17" s="14"/>
      <c r="QUQ17" s="14"/>
      <c r="QUR17" s="14"/>
      <c r="QUS17" s="14"/>
      <c r="QUT17" s="14"/>
      <c r="QUU17" s="14"/>
      <c r="QUV17" s="14"/>
      <c r="QUW17" s="14"/>
      <c r="QUX17" s="14"/>
      <c r="QUY17" s="14"/>
      <c r="QUZ17" s="14"/>
      <c r="QVA17" s="14"/>
      <c r="QVB17" s="14"/>
      <c r="QVC17" s="14"/>
      <c r="QVD17" s="14"/>
      <c r="QVE17" s="14"/>
      <c r="QVF17" s="14"/>
      <c r="QVG17" s="14"/>
      <c r="QVH17" s="14"/>
      <c r="QVI17" s="14"/>
      <c r="QVJ17" s="14"/>
      <c r="QVK17" s="14"/>
      <c r="QVL17" s="14"/>
      <c r="QVM17" s="14"/>
      <c r="QVN17" s="14"/>
      <c r="QVO17" s="14"/>
      <c r="QVP17" s="14"/>
      <c r="QVQ17" s="14"/>
      <c r="QVR17" s="14"/>
      <c r="QVS17" s="14"/>
      <c r="QVT17" s="14"/>
      <c r="QVU17" s="14"/>
      <c r="QVV17" s="14"/>
      <c r="QVW17" s="14"/>
      <c r="QVX17" s="14"/>
      <c r="QVY17" s="14"/>
      <c r="QVZ17" s="14"/>
      <c r="QWA17" s="14"/>
      <c r="QWB17" s="14"/>
      <c r="QWC17" s="14"/>
      <c r="QWD17" s="14"/>
      <c r="QWE17" s="14"/>
      <c r="QWF17" s="14"/>
      <c r="QWG17" s="14"/>
      <c r="QWH17" s="14"/>
      <c r="QWI17" s="14"/>
      <c r="QWJ17" s="14"/>
      <c r="QWK17" s="14"/>
      <c r="QWL17" s="14"/>
      <c r="QWM17" s="14"/>
      <c r="QWN17" s="14"/>
      <c r="QWO17" s="14"/>
      <c r="QWP17" s="14"/>
      <c r="QWQ17" s="14"/>
      <c r="QWR17" s="14"/>
      <c r="QWS17" s="14"/>
      <c r="QWT17" s="14"/>
      <c r="QWU17" s="14"/>
      <c r="QWV17" s="14"/>
      <c r="QWW17" s="14"/>
      <c r="QWX17" s="14"/>
      <c r="QWY17" s="14"/>
      <c r="QWZ17" s="14"/>
      <c r="QXA17" s="14"/>
      <c r="QXB17" s="14"/>
      <c r="QXC17" s="14"/>
      <c r="QXD17" s="14"/>
      <c r="QXE17" s="14"/>
      <c r="QXF17" s="14"/>
      <c r="QXG17" s="14"/>
      <c r="QXH17" s="14"/>
      <c r="QXI17" s="14"/>
      <c r="QXJ17" s="14"/>
      <c r="QXK17" s="14"/>
      <c r="QXL17" s="14"/>
      <c r="QXM17" s="14"/>
      <c r="QXN17" s="14"/>
      <c r="QXO17" s="14"/>
      <c r="QXP17" s="14"/>
      <c r="QXQ17" s="14"/>
      <c r="QXR17" s="14"/>
      <c r="QXS17" s="14"/>
      <c r="QXT17" s="14"/>
      <c r="QXU17" s="14"/>
      <c r="QXV17" s="14"/>
      <c r="QXW17" s="14"/>
      <c r="QXX17" s="14"/>
      <c r="QXY17" s="14"/>
      <c r="QXZ17" s="14"/>
      <c r="QYA17" s="14"/>
      <c r="QYB17" s="14"/>
      <c r="QYC17" s="14"/>
      <c r="QYD17" s="14"/>
      <c r="QYE17" s="14"/>
      <c r="QYF17" s="14"/>
      <c r="QYG17" s="14"/>
      <c r="QYH17" s="14"/>
      <c r="QYI17" s="14"/>
      <c r="QYJ17" s="14"/>
      <c r="QYK17" s="14"/>
      <c r="QYL17" s="14"/>
      <c r="QYM17" s="14"/>
      <c r="QYN17" s="14"/>
      <c r="QYO17" s="14"/>
      <c r="QYP17" s="14"/>
      <c r="QYQ17" s="14"/>
      <c r="QYR17" s="14"/>
      <c r="QYS17" s="14"/>
      <c r="QYT17" s="14"/>
      <c r="QYU17" s="14"/>
      <c r="QYV17" s="14"/>
      <c r="QYW17" s="14"/>
      <c r="QYX17" s="14"/>
      <c r="QYY17" s="14"/>
      <c r="QYZ17" s="14"/>
      <c r="QZA17" s="14"/>
      <c r="QZB17" s="14"/>
      <c r="QZC17" s="14"/>
      <c r="QZD17" s="14"/>
      <c r="QZE17" s="14"/>
      <c r="QZF17" s="14"/>
      <c r="QZG17" s="14"/>
      <c r="QZH17" s="14"/>
      <c r="QZI17" s="14"/>
      <c r="QZJ17" s="14"/>
      <c r="QZK17" s="14"/>
      <c r="QZL17" s="14"/>
      <c r="QZM17" s="14"/>
      <c r="QZN17" s="14"/>
      <c r="QZO17" s="14"/>
      <c r="QZP17" s="14"/>
      <c r="QZQ17" s="14"/>
      <c r="QZR17" s="14"/>
      <c r="QZS17" s="14"/>
      <c r="QZT17" s="14"/>
      <c r="QZU17" s="14"/>
      <c r="QZV17" s="14"/>
      <c r="QZW17" s="14"/>
      <c r="QZX17" s="14"/>
      <c r="QZY17" s="14"/>
      <c r="QZZ17" s="14"/>
      <c r="RAA17" s="14"/>
      <c r="RAB17" s="14"/>
      <c r="RAC17" s="14"/>
      <c r="RAD17" s="14"/>
      <c r="RAE17" s="14"/>
      <c r="RAF17" s="14"/>
      <c r="RAG17" s="14"/>
      <c r="RAH17" s="14"/>
      <c r="RAI17" s="14"/>
      <c r="RAJ17" s="14"/>
      <c r="RAK17" s="14"/>
      <c r="RAL17" s="14"/>
      <c r="RAM17" s="14"/>
      <c r="RAN17" s="14"/>
      <c r="RAO17" s="14"/>
      <c r="RAP17" s="14"/>
      <c r="RAQ17" s="14"/>
      <c r="RAR17" s="14"/>
      <c r="RAS17" s="14"/>
      <c r="RAT17" s="14"/>
      <c r="RAU17" s="14"/>
      <c r="RAV17" s="14"/>
      <c r="RAW17" s="14"/>
      <c r="RAX17" s="14"/>
      <c r="RAY17" s="14"/>
      <c r="RAZ17" s="14"/>
      <c r="RBA17" s="14"/>
      <c r="RBB17" s="14"/>
      <c r="RBC17" s="14"/>
      <c r="RBD17" s="14"/>
      <c r="RBE17" s="14"/>
      <c r="RBF17" s="14"/>
      <c r="RBG17" s="14"/>
      <c r="RBH17" s="14"/>
      <c r="RBI17" s="14"/>
      <c r="RBJ17" s="14"/>
      <c r="RBK17" s="14"/>
      <c r="RBL17" s="14"/>
      <c r="RBM17" s="14"/>
      <c r="RBN17" s="14"/>
      <c r="RBO17" s="14"/>
      <c r="RBP17" s="14"/>
      <c r="RBQ17" s="14"/>
      <c r="RBR17" s="14"/>
      <c r="RBS17" s="14"/>
      <c r="RBT17" s="14"/>
      <c r="RBU17" s="14"/>
      <c r="RBV17" s="14"/>
      <c r="RBW17" s="14"/>
      <c r="RBX17" s="14"/>
      <c r="RBY17" s="14"/>
      <c r="RBZ17" s="14"/>
      <c r="RCA17" s="14"/>
      <c r="RCB17" s="14"/>
      <c r="RCC17" s="14"/>
      <c r="RCD17" s="14"/>
      <c r="RCE17" s="14"/>
      <c r="RCF17" s="14"/>
      <c r="RCG17" s="14"/>
      <c r="RCH17" s="14"/>
      <c r="RCI17" s="14"/>
      <c r="RCJ17" s="14"/>
      <c r="RCK17" s="14"/>
      <c r="RCL17" s="14"/>
      <c r="RCM17" s="14"/>
      <c r="RCN17" s="14"/>
      <c r="RCO17" s="14"/>
      <c r="RCP17" s="14"/>
      <c r="RCQ17" s="14"/>
      <c r="RCR17" s="14"/>
      <c r="RCS17" s="14"/>
      <c r="RCT17" s="14"/>
      <c r="RCU17" s="14"/>
      <c r="RCV17" s="14"/>
      <c r="RCW17" s="14"/>
      <c r="RCX17" s="14"/>
      <c r="RCY17" s="14"/>
      <c r="RCZ17" s="14"/>
      <c r="RDA17" s="14"/>
      <c r="RDB17" s="14"/>
      <c r="RDC17" s="14"/>
      <c r="RDD17" s="14"/>
      <c r="RDE17" s="14"/>
      <c r="RDF17" s="14"/>
      <c r="RDG17" s="14"/>
      <c r="RDH17" s="14"/>
      <c r="RDI17" s="14"/>
      <c r="RDJ17" s="14"/>
      <c r="RDK17" s="14"/>
      <c r="RDL17" s="14"/>
      <c r="RDM17" s="14"/>
      <c r="RDN17" s="14"/>
      <c r="RDO17" s="14"/>
      <c r="RDP17" s="14"/>
      <c r="RDQ17" s="14"/>
      <c r="RDR17" s="14"/>
      <c r="RDS17" s="14"/>
      <c r="RDT17" s="14"/>
      <c r="RDU17" s="14"/>
      <c r="RDV17" s="14"/>
      <c r="RDW17" s="14"/>
      <c r="RDX17" s="14"/>
      <c r="RDY17" s="14"/>
      <c r="RDZ17" s="14"/>
      <c r="REA17" s="14"/>
      <c r="REB17" s="14"/>
      <c r="REC17" s="14"/>
      <c r="RED17" s="14"/>
      <c r="REE17" s="14"/>
      <c r="REF17" s="14"/>
      <c r="REG17" s="14"/>
      <c r="REH17" s="14"/>
      <c r="REI17" s="14"/>
      <c r="REJ17" s="14"/>
      <c r="REK17" s="14"/>
      <c r="REL17" s="14"/>
      <c r="REM17" s="14"/>
      <c r="REN17" s="14"/>
      <c r="REO17" s="14"/>
      <c r="REP17" s="14"/>
      <c r="REQ17" s="14"/>
      <c r="RER17" s="14"/>
      <c r="RES17" s="14"/>
      <c r="RET17" s="14"/>
      <c r="REU17" s="14"/>
      <c r="REV17" s="14"/>
      <c r="REW17" s="14"/>
      <c r="REX17" s="14"/>
      <c r="REY17" s="14"/>
      <c r="REZ17" s="14"/>
      <c r="RFA17" s="14"/>
      <c r="RFB17" s="14"/>
      <c r="RFC17" s="14"/>
      <c r="RFD17" s="14"/>
      <c r="RFE17" s="14"/>
      <c r="RFF17" s="14"/>
      <c r="RFG17" s="14"/>
      <c r="RFH17" s="14"/>
      <c r="RFI17" s="14"/>
      <c r="RFJ17" s="14"/>
      <c r="RFK17" s="14"/>
      <c r="RFL17" s="14"/>
      <c r="RFM17" s="14"/>
      <c r="RFN17" s="14"/>
      <c r="RFO17" s="14"/>
      <c r="RFP17" s="14"/>
      <c r="RFQ17" s="14"/>
      <c r="RFR17" s="14"/>
      <c r="RFS17" s="14"/>
      <c r="RFT17" s="14"/>
      <c r="RFU17" s="14"/>
      <c r="RFV17" s="14"/>
      <c r="RFW17" s="14"/>
      <c r="RFX17" s="14"/>
      <c r="RFY17" s="14"/>
      <c r="RFZ17" s="14"/>
      <c r="RGA17" s="14"/>
      <c r="RGB17" s="14"/>
      <c r="RGC17" s="14"/>
      <c r="RGD17" s="14"/>
      <c r="RGE17" s="14"/>
      <c r="RGF17" s="14"/>
      <c r="RGG17" s="14"/>
      <c r="RGH17" s="14"/>
      <c r="RGI17" s="14"/>
      <c r="RGJ17" s="14"/>
      <c r="RGK17" s="14"/>
      <c r="RGL17" s="14"/>
      <c r="RGM17" s="14"/>
      <c r="RGN17" s="14"/>
      <c r="RGO17" s="14"/>
      <c r="RGP17" s="14"/>
      <c r="RGQ17" s="14"/>
      <c r="RGR17" s="14"/>
      <c r="RGS17" s="14"/>
      <c r="RGT17" s="14"/>
      <c r="RGU17" s="14"/>
      <c r="RGV17" s="14"/>
      <c r="RGW17" s="14"/>
      <c r="RGX17" s="14"/>
      <c r="RGY17" s="14"/>
      <c r="RGZ17" s="14"/>
      <c r="RHA17" s="14"/>
      <c r="RHB17" s="14"/>
      <c r="RHC17" s="14"/>
      <c r="RHD17" s="14"/>
      <c r="RHE17" s="14"/>
      <c r="RHF17" s="14"/>
      <c r="RHG17" s="14"/>
      <c r="RHH17" s="14"/>
      <c r="RHI17" s="14"/>
      <c r="RHJ17" s="14"/>
      <c r="RHK17" s="14"/>
      <c r="RHL17" s="14"/>
      <c r="RHM17" s="14"/>
      <c r="RHN17" s="14"/>
      <c r="RHO17" s="14"/>
      <c r="RHP17" s="14"/>
      <c r="RHQ17" s="14"/>
      <c r="RHR17" s="14"/>
      <c r="RHS17" s="14"/>
      <c r="RHT17" s="14"/>
      <c r="RHU17" s="14"/>
      <c r="RHV17" s="14"/>
      <c r="RHW17" s="14"/>
      <c r="RHX17" s="14"/>
      <c r="RHY17" s="14"/>
      <c r="RHZ17" s="14"/>
      <c r="RIA17" s="14"/>
      <c r="RIB17" s="14"/>
      <c r="RIC17" s="14"/>
      <c r="RID17" s="14"/>
      <c r="RIE17" s="14"/>
      <c r="RIF17" s="14"/>
      <c r="RIG17" s="14"/>
      <c r="RIH17" s="14"/>
      <c r="RII17" s="14"/>
      <c r="RIJ17" s="14"/>
      <c r="RIK17" s="14"/>
      <c r="RIL17" s="14"/>
      <c r="RIM17" s="14"/>
      <c r="RIN17" s="14"/>
      <c r="RIO17" s="14"/>
      <c r="RIP17" s="14"/>
      <c r="RIQ17" s="14"/>
      <c r="RIR17" s="14"/>
      <c r="RIS17" s="14"/>
      <c r="RIT17" s="14"/>
      <c r="RIU17" s="14"/>
      <c r="RIV17" s="14"/>
      <c r="RIW17" s="14"/>
      <c r="RIX17" s="14"/>
      <c r="RIY17" s="14"/>
      <c r="RIZ17" s="14"/>
      <c r="RJA17" s="14"/>
      <c r="RJB17" s="14"/>
      <c r="RJC17" s="14"/>
      <c r="RJD17" s="14"/>
      <c r="RJE17" s="14"/>
      <c r="RJF17" s="14"/>
      <c r="RJG17" s="14"/>
      <c r="RJH17" s="14"/>
      <c r="RJI17" s="14"/>
      <c r="RJJ17" s="14"/>
      <c r="RJK17" s="14"/>
      <c r="RJL17" s="14"/>
      <c r="RJM17" s="14"/>
      <c r="RJN17" s="14"/>
      <c r="RJO17" s="14"/>
      <c r="RJP17" s="14"/>
      <c r="RJQ17" s="14"/>
      <c r="RJR17" s="14"/>
      <c r="RJS17" s="14"/>
      <c r="RJT17" s="14"/>
      <c r="RJU17" s="14"/>
      <c r="RJV17" s="14"/>
      <c r="RJW17" s="14"/>
      <c r="RJX17" s="14"/>
      <c r="RJY17" s="14"/>
      <c r="RJZ17" s="14"/>
      <c r="RKA17" s="14"/>
      <c r="RKB17" s="14"/>
      <c r="RKC17" s="14"/>
      <c r="RKD17" s="14"/>
      <c r="RKE17" s="14"/>
      <c r="RKF17" s="14"/>
      <c r="RKG17" s="14"/>
      <c r="RKH17" s="14"/>
      <c r="RKI17" s="14"/>
      <c r="RKJ17" s="14"/>
      <c r="RKK17" s="14"/>
      <c r="RKL17" s="14"/>
      <c r="RKM17" s="14"/>
      <c r="RKN17" s="14"/>
      <c r="RKO17" s="14"/>
      <c r="RKP17" s="14"/>
      <c r="RKQ17" s="14"/>
      <c r="RKR17" s="14"/>
      <c r="RKS17" s="14"/>
      <c r="RKT17" s="14"/>
      <c r="RKU17" s="14"/>
      <c r="RKV17" s="14"/>
      <c r="RKW17" s="14"/>
      <c r="RKX17" s="14"/>
      <c r="RKY17" s="14"/>
      <c r="RKZ17" s="14"/>
      <c r="RLA17" s="14"/>
      <c r="RLB17" s="14"/>
      <c r="RLC17" s="14"/>
      <c r="RLD17" s="14"/>
      <c r="RLE17" s="14"/>
      <c r="RLF17" s="14"/>
      <c r="RLG17" s="14"/>
      <c r="RLH17" s="14"/>
      <c r="RLI17" s="14"/>
      <c r="RLJ17" s="14"/>
      <c r="RLK17" s="14"/>
      <c r="RLL17" s="14"/>
      <c r="RLM17" s="14"/>
      <c r="RLN17" s="14"/>
      <c r="RLO17" s="14"/>
      <c r="RLP17" s="14"/>
      <c r="RLQ17" s="14"/>
      <c r="RLR17" s="14"/>
      <c r="RLS17" s="14"/>
      <c r="RLT17" s="14"/>
      <c r="RLU17" s="14"/>
      <c r="RLV17" s="14"/>
      <c r="RLW17" s="14"/>
      <c r="RLX17" s="14"/>
      <c r="RLY17" s="14"/>
      <c r="RLZ17" s="14"/>
      <c r="RMA17" s="14"/>
      <c r="RMB17" s="14"/>
      <c r="RMC17" s="14"/>
      <c r="RMD17" s="14"/>
      <c r="RME17" s="14"/>
      <c r="RMF17" s="14"/>
      <c r="RMG17" s="14"/>
      <c r="RMH17" s="14"/>
      <c r="RMI17" s="14"/>
      <c r="RMJ17" s="14"/>
      <c r="RMK17" s="14"/>
      <c r="RML17" s="14"/>
      <c r="RMM17" s="14"/>
      <c r="RMN17" s="14"/>
      <c r="RMO17" s="14"/>
      <c r="RMP17" s="14"/>
      <c r="RMQ17" s="14"/>
      <c r="RMR17" s="14"/>
      <c r="RMS17" s="14"/>
      <c r="RMT17" s="14"/>
      <c r="RMU17" s="14"/>
      <c r="RMV17" s="14"/>
      <c r="RMW17" s="14"/>
      <c r="RMX17" s="14"/>
      <c r="RMY17" s="14"/>
      <c r="RMZ17" s="14"/>
      <c r="RNA17" s="14"/>
      <c r="RNB17" s="14"/>
      <c r="RNC17" s="14"/>
      <c r="RND17" s="14"/>
      <c r="RNE17" s="14"/>
      <c r="RNF17" s="14"/>
      <c r="RNG17" s="14"/>
      <c r="RNH17" s="14"/>
      <c r="RNI17" s="14"/>
      <c r="RNJ17" s="14"/>
      <c r="RNK17" s="14"/>
      <c r="RNL17" s="14"/>
      <c r="RNM17" s="14"/>
      <c r="RNN17" s="14"/>
      <c r="RNO17" s="14"/>
      <c r="RNP17" s="14"/>
      <c r="RNQ17" s="14"/>
      <c r="RNR17" s="14"/>
      <c r="RNS17" s="14"/>
      <c r="RNT17" s="14"/>
      <c r="RNU17" s="14"/>
      <c r="RNV17" s="14"/>
      <c r="RNW17" s="14"/>
      <c r="RNX17" s="14"/>
      <c r="RNY17" s="14"/>
      <c r="RNZ17" s="14"/>
      <c r="ROA17" s="14"/>
      <c r="ROB17" s="14"/>
      <c r="ROC17" s="14"/>
      <c r="ROD17" s="14"/>
      <c r="ROE17" s="14"/>
      <c r="ROF17" s="14"/>
      <c r="ROG17" s="14"/>
      <c r="ROH17" s="14"/>
      <c r="ROI17" s="14"/>
      <c r="ROJ17" s="14"/>
      <c r="ROK17" s="14"/>
      <c r="ROL17" s="14"/>
      <c r="ROM17" s="14"/>
      <c r="RON17" s="14"/>
      <c r="ROO17" s="14"/>
      <c r="ROP17" s="14"/>
      <c r="ROQ17" s="14"/>
      <c r="ROR17" s="14"/>
      <c r="ROS17" s="14"/>
      <c r="ROT17" s="14"/>
      <c r="ROU17" s="14"/>
      <c r="ROV17" s="14"/>
      <c r="ROW17" s="14"/>
      <c r="ROX17" s="14"/>
      <c r="ROY17" s="14"/>
      <c r="ROZ17" s="14"/>
      <c r="RPA17" s="14"/>
      <c r="RPB17" s="14"/>
      <c r="RPC17" s="14"/>
      <c r="RPD17" s="14"/>
      <c r="RPE17" s="14"/>
      <c r="RPF17" s="14"/>
      <c r="RPG17" s="14"/>
      <c r="RPH17" s="14"/>
      <c r="RPI17" s="14"/>
      <c r="RPJ17" s="14"/>
      <c r="RPK17" s="14"/>
      <c r="RPL17" s="14"/>
      <c r="RPM17" s="14"/>
      <c r="RPN17" s="14"/>
      <c r="RPO17" s="14"/>
      <c r="RPP17" s="14"/>
      <c r="RPQ17" s="14"/>
      <c r="RPR17" s="14"/>
      <c r="RPS17" s="14"/>
      <c r="RPT17" s="14"/>
      <c r="RPU17" s="14"/>
      <c r="RPV17" s="14"/>
      <c r="RPW17" s="14"/>
      <c r="RPX17" s="14"/>
      <c r="RPY17" s="14"/>
      <c r="RPZ17" s="14"/>
      <c r="RQA17" s="14"/>
      <c r="RQB17" s="14"/>
      <c r="RQC17" s="14"/>
      <c r="RQD17" s="14"/>
      <c r="RQE17" s="14"/>
      <c r="RQF17" s="14"/>
      <c r="RQG17" s="14"/>
      <c r="RQH17" s="14"/>
      <c r="RQI17" s="14"/>
      <c r="RQJ17" s="14"/>
      <c r="RQK17" s="14"/>
      <c r="RQL17" s="14"/>
      <c r="RQM17" s="14"/>
      <c r="RQN17" s="14"/>
      <c r="RQO17" s="14"/>
      <c r="RQP17" s="14"/>
      <c r="RQQ17" s="14"/>
      <c r="RQR17" s="14"/>
      <c r="RQS17" s="14"/>
      <c r="RQT17" s="14"/>
      <c r="RQU17" s="14"/>
      <c r="RQV17" s="14"/>
      <c r="RQW17" s="14"/>
      <c r="RQX17" s="14"/>
      <c r="RQY17" s="14"/>
      <c r="RQZ17" s="14"/>
      <c r="RRA17" s="14"/>
      <c r="RRB17" s="14"/>
      <c r="RRC17" s="14"/>
      <c r="RRD17" s="14"/>
      <c r="RRE17" s="14"/>
      <c r="RRF17" s="14"/>
      <c r="RRG17" s="14"/>
      <c r="RRH17" s="14"/>
      <c r="RRI17" s="14"/>
      <c r="RRJ17" s="14"/>
      <c r="RRK17" s="14"/>
      <c r="RRL17" s="14"/>
      <c r="RRM17" s="14"/>
      <c r="RRN17" s="14"/>
      <c r="RRO17" s="14"/>
      <c r="RRP17" s="14"/>
      <c r="RRQ17" s="14"/>
      <c r="RRR17" s="14"/>
      <c r="RRS17" s="14"/>
      <c r="RRT17" s="14"/>
      <c r="RRU17" s="14"/>
      <c r="RRV17" s="14"/>
      <c r="RRW17" s="14"/>
      <c r="RRX17" s="14"/>
      <c r="RRY17" s="14"/>
      <c r="RRZ17" s="14"/>
      <c r="RSA17" s="14"/>
      <c r="RSB17" s="14"/>
      <c r="RSC17" s="14"/>
      <c r="RSD17" s="14"/>
      <c r="RSE17" s="14"/>
      <c r="RSF17" s="14"/>
      <c r="RSG17" s="14"/>
      <c r="RSH17" s="14"/>
      <c r="RSI17" s="14"/>
      <c r="RSJ17" s="14"/>
      <c r="RSK17" s="14"/>
      <c r="RSL17" s="14"/>
      <c r="RSM17" s="14"/>
      <c r="RSN17" s="14"/>
      <c r="RSO17" s="14"/>
      <c r="RSP17" s="14"/>
      <c r="RSQ17" s="14"/>
      <c r="RSR17" s="14"/>
      <c r="RSS17" s="14"/>
      <c r="RST17" s="14"/>
      <c r="RSU17" s="14"/>
      <c r="RSV17" s="14"/>
      <c r="RSW17" s="14"/>
      <c r="RSX17" s="14"/>
      <c r="RSY17" s="14"/>
      <c r="RSZ17" s="14"/>
      <c r="RTA17" s="14"/>
      <c r="RTB17" s="14"/>
      <c r="RTC17" s="14"/>
      <c r="RTD17" s="14"/>
      <c r="RTE17" s="14"/>
      <c r="RTF17" s="14"/>
      <c r="RTG17" s="14"/>
      <c r="RTH17" s="14"/>
      <c r="RTI17" s="14"/>
      <c r="RTJ17" s="14"/>
      <c r="RTK17" s="14"/>
      <c r="RTL17" s="14"/>
      <c r="RTM17" s="14"/>
      <c r="RTN17" s="14"/>
      <c r="RTO17" s="14"/>
      <c r="RTP17" s="14"/>
      <c r="RTQ17" s="14"/>
      <c r="RTR17" s="14"/>
      <c r="RTS17" s="14"/>
      <c r="RTT17" s="14"/>
      <c r="RTU17" s="14"/>
      <c r="RTV17" s="14"/>
      <c r="RTW17" s="14"/>
      <c r="RTX17" s="14"/>
      <c r="RTY17" s="14"/>
      <c r="RTZ17" s="14"/>
      <c r="RUA17" s="14"/>
      <c r="RUB17" s="14"/>
      <c r="RUC17" s="14"/>
      <c r="RUD17" s="14"/>
      <c r="RUE17" s="14"/>
      <c r="RUF17" s="14"/>
      <c r="RUG17" s="14"/>
      <c r="RUH17" s="14"/>
      <c r="RUI17" s="14"/>
      <c r="RUJ17" s="14"/>
      <c r="RUK17" s="14"/>
      <c r="RUL17" s="14"/>
      <c r="RUM17" s="14"/>
      <c r="RUN17" s="14"/>
      <c r="RUO17" s="14"/>
      <c r="RUP17" s="14"/>
      <c r="RUQ17" s="14"/>
      <c r="RUR17" s="14"/>
      <c r="RUS17" s="14"/>
      <c r="RUT17" s="14"/>
      <c r="RUU17" s="14"/>
      <c r="RUV17" s="14"/>
      <c r="RUW17" s="14"/>
      <c r="RUX17" s="14"/>
      <c r="RUY17" s="14"/>
      <c r="RUZ17" s="14"/>
      <c r="RVA17" s="14"/>
      <c r="RVB17" s="14"/>
      <c r="RVC17" s="14"/>
      <c r="RVD17" s="14"/>
      <c r="RVE17" s="14"/>
      <c r="RVF17" s="14"/>
      <c r="RVG17" s="14"/>
      <c r="RVH17" s="14"/>
      <c r="RVI17" s="14"/>
      <c r="RVJ17" s="14"/>
      <c r="RVK17" s="14"/>
      <c r="RVL17" s="14"/>
      <c r="RVM17" s="14"/>
      <c r="RVN17" s="14"/>
      <c r="RVO17" s="14"/>
      <c r="RVP17" s="14"/>
      <c r="RVQ17" s="14"/>
      <c r="RVR17" s="14"/>
      <c r="RVS17" s="14"/>
      <c r="RVT17" s="14"/>
      <c r="RVU17" s="14"/>
      <c r="RVV17" s="14"/>
      <c r="RVW17" s="14"/>
      <c r="RVX17" s="14"/>
      <c r="RVY17" s="14"/>
      <c r="RVZ17" s="14"/>
      <c r="RWA17" s="14"/>
      <c r="RWB17" s="14"/>
      <c r="RWC17" s="14"/>
      <c r="RWD17" s="14"/>
      <c r="RWE17" s="14"/>
      <c r="RWF17" s="14"/>
      <c r="RWG17" s="14"/>
      <c r="RWH17" s="14"/>
      <c r="RWI17" s="14"/>
      <c r="RWJ17" s="14"/>
      <c r="RWK17" s="14"/>
      <c r="RWL17" s="14"/>
      <c r="RWM17" s="14"/>
      <c r="RWN17" s="14"/>
      <c r="RWO17" s="14"/>
      <c r="RWP17" s="14"/>
      <c r="RWQ17" s="14"/>
      <c r="RWR17" s="14"/>
      <c r="RWS17" s="14"/>
      <c r="RWT17" s="14"/>
      <c r="RWU17" s="14"/>
      <c r="RWV17" s="14"/>
      <c r="RWW17" s="14"/>
      <c r="RWX17" s="14"/>
      <c r="RWY17" s="14"/>
      <c r="RWZ17" s="14"/>
      <c r="RXA17" s="14"/>
      <c r="RXB17" s="14"/>
      <c r="RXC17" s="14"/>
      <c r="RXD17" s="14"/>
      <c r="RXE17" s="14"/>
      <c r="RXF17" s="14"/>
      <c r="RXG17" s="14"/>
      <c r="RXH17" s="14"/>
      <c r="RXI17" s="14"/>
      <c r="RXJ17" s="14"/>
      <c r="RXK17" s="14"/>
      <c r="RXL17" s="14"/>
      <c r="RXM17" s="14"/>
      <c r="RXN17" s="14"/>
      <c r="RXO17" s="14"/>
      <c r="RXP17" s="14"/>
      <c r="RXQ17" s="14"/>
      <c r="RXR17" s="14"/>
      <c r="RXS17" s="14"/>
      <c r="RXT17" s="14"/>
      <c r="RXU17" s="14"/>
      <c r="RXV17" s="14"/>
      <c r="RXW17" s="14"/>
      <c r="RXX17" s="14"/>
      <c r="RXY17" s="14"/>
      <c r="RXZ17" s="14"/>
      <c r="RYA17" s="14"/>
      <c r="RYB17" s="14"/>
      <c r="RYC17" s="14"/>
      <c r="RYD17" s="14"/>
      <c r="RYE17" s="14"/>
      <c r="RYF17" s="14"/>
      <c r="RYG17" s="14"/>
      <c r="RYH17" s="14"/>
      <c r="RYI17" s="14"/>
      <c r="RYJ17" s="14"/>
      <c r="RYK17" s="14"/>
      <c r="RYL17" s="14"/>
      <c r="RYM17" s="14"/>
      <c r="RYN17" s="14"/>
      <c r="RYO17" s="14"/>
      <c r="RYP17" s="14"/>
      <c r="RYQ17" s="14"/>
      <c r="RYR17" s="14"/>
      <c r="RYS17" s="14"/>
      <c r="RYT17" s="14"/>
      <c r="RYU17" s="14"/>
      <c r="RYV17" s="14"/>
      <c r="RYW17" s="14"/>
      <c r="RYX17" s="14"/>
      <c r="RYY17" s="14"/>
      <c r="RYZ17" s="14"/>
      <c r="RZA17" s="14"/>
      <c r="RZB17" s="14"/>
      <c r="RZC17" s="14"/>
      <c r="RZD17" s="14"/>
      <c r="RZE17" s="14"/>
      <c r="RZF17" s="14"/>
      <c r="RZG17" s="14"/>
      <c r="RZH17" s="14"/>
      <c r="RZI17" s="14"/>
      <c r="RZJ17" s="14"/>
      <c r="RZK17" s="14"/>
      <c r="RZL17" s="14"/>
      <c r="RZM17" s="14"/>
      <c r="RZN17" s="14"/>
      <c r="RZO17" s="14"/>
      <c r="RZP17" s="14"/>
      <c r="RZQ17" s="14"/>
      <c r="RZR17" s="14"/>
      <c r="RZS17" s="14"/>
      <c r="RZT17" s="14"/>
      <c r="RZU17" s="14"/>
      <c r="RZV17" s="14"/>
      <c r="RZW17" s="14"/>
      <c r="RZX17" s="14"/>
      <c r="RZY17" s="14"/>
      <c r="RZZ17" s="14"/>
      <c r="SAA17" s="14"/>
      <c r="SAB17" s="14"/>
      <c r="SAC17" s="14"/>
      <c r="SAD17" s="14"/>
      <c r="SAE17" s="14"/>
      <c r="SAF17" s="14"/>
      <c r="SAG17" s="14"/>
      <c r="SAH17" s="14"/>
      <c r="SAI17" s="14"/>
      <c r="SAJ17" s="14"/>
      <c r="SAK17" s="14"/>
      <c r="SAL17" s="14"/>
      <c r="SAM17" s="14"/>
      <c r="SAN17" s="14"/>
      <c r="SAO17" s="14"/>
      <c r="SAP17" s="14"/>
      <c r="SAQ17" s="14"/>
      <c r="SAR17" s="14"/>
      <c r="SAS17" s="14"/>
      <c r="SAT17" s="14"/>
      <c r="SAU17" s="14"/>
      <c r="SAV17" s="14"/>
      <c r="SAW17" s="14"/>
      <c r="SAX17" s="14"/>
      <c r="SAY17" s="14"/>
      <c r="SAZ17" s="14"/>
      <c r="SBA17" s="14"/>
      <c r="SBB17" s="14"/>
      <c r="SBC17" s="14"/>
      <c r="SBD17" s="14"/>
      <c r="SBE17" s="14"/>
      <c r="SBF17" s="14"/>
      <c r="SBG17" s="14"/>
      <c r="SBH17" s="14"/>
      <c r="SBI17" s="14"/>
      <c r="SBJ17" s="14"/>
      <c r="SBK17" s="14"/>
      <c r="SBL17" s="14"/>
      <c r="SBM17" s="14"/>
      <c r="SBN17" s="14"/>
      <c r="SBO17" s="14"/>
      <c r="SBP17" s="14"/>
      <c r="SBQ17" s="14"/>
      <c r="SBR17" s="14"/>
      <c r="SBS17" s="14"/>
      <c r="SBT17" s="14"/>
      <c r="SBU17" s="14"/>
      <c r="SBV17" s="14"/>
      <c r="SBW17" s="14"/>
      <c r="SBX17" s="14"/>
      <c r="SBY17" s="14"/>
      <c r="SBZ17" s="14"/>
      <c r="SCA17" s="14"/>
      <c r="SCB17" s="14"/>
      <c r="SCC17" s="14"/>
      <c r="SCD17" s="14"/>
      <c r="SCE17" s="14"/>
      <c r="SCF17" s="14"/>
      <c r="SCG17" s="14"/>
      <c r="SCH17" s="14"/>
      <c r="SCI17" s="14"/>
      <c r="SCJ17" s="14"/>
      <c r="SCK17" s="14"/>
      <c r="SCL17" s="14"/>
      <c r="SCM17" s="14"/>
      <c r="SCN17" s="14"/>
      <c r="SCO17" s="14"/>
      <c r="SCP17" s="14"/>
      <c r="SCQ17" s="14"/>
      <c r="SCR17" s="14"/>
      <c r="SCS17" s="14"/>
      <c r="SCT17" s="14"/>
      <c r="SCU17" s="14"/>
      <c r="SCV17" s="14"/>
      <c r="SCW17" s="14"/>
      <c r="SCX17" s="14"/>
      <c r="SCY17" s="14"/>
      <c r="SCZ17" s="14"/>
      <c r="SDA17" s="14"/>
      <c r="SDB17" s="14"/>
      <c r="SDC17" s="14"/>
      <c r="SDD17" s="14"/>
      <c r="SDE17" s="14"/>
      <c r="SDF17" s="14"/>
      <c r="SDG17" s="14"/>
      <c r="SDH17" s="14"/>
      <c r="SDI17" s="14"/>
      <c r="SDJ17" s="14"/>
      <c r="SDK17" s="14"/>
      <c r="SDL17" s="14"/>
      <c r="SDM17" s="14"/>
      <c r="SDN17" s="14"/>
      <c r="SDO17" s="14"/>
      <c r="SDP17" s="14"/>
      <c r="SDQ17" s="14"/>
      <c r="SDR17" s="14"/>
      <c r="SDS17" s="14"/>
      <c r="SDT17" s="14"/>
      <c r="SDU17" s="14"/>
      <c r="SDV17" s="14"/>
      <c r="SDW17" s="14"/>
      <c r="SDX17" s="14"/>
      <c r="SDY17" s="14"/>
      <c r="SDZ17" s="14"/>
      <c r="SEA17" s="14"/>
      <c r="SEB17" s="14"/>
      <c r="SEC17" s="14"/>
      <c r="SED17" s="14"/>
      <c r="SEE17" s="14"/>
      <c r="SEF17" s="14"/>
      <c r="SEG17" s="14"/>
      <c r="SEH17" s="14"/>
      <c r="SEI17" s="14"/>
      <c r="SEJ17" s="14"/>
      <c r="SEK17" s="14"/>
      <c r="SEL17" s="14"/>
      <c r="SEM17" s="14"/>
      <c r="SEN17" s="14"/>
      <c r="SEO17" s="14"/>
      <c r="SEP17" s="14"/>
      <c r="SEQ17" s="14"/>
      <c r="SER17" s="14"/>
      <c r="SES17" s="14"/>
      <c r="SET17" s="14"/>
      <c r="SEU17" s="14"/>
      <c r="SEV17" s="14"/>
      <c r="SEW17" s="14"/>
      <c r="SEX17" s="14"/>
      <c r="SEY17" s="14"/>
      <c r="SEZ17" s="14"/>
      <c r="SFA17" s="14"/>
      <c r="SFB17" s="14"/>
      <c r="SFC17" s="14"/>
      <c r="SFD17" s="14"/>
      <c r="SFE17" s="14"/>
      <c r="SFF17" s="14"/>
      <c r="SFG17" s="14"/>
      <c r="SFH17" s="14"/>
      <c r="SFI17" s="14"/>
      <c r="SFJ17" s="14"/>
      <c r="SFK17" s="14"/>
      <c r="SFL17" s="14"/>
      <c r="SFM17" s="14"/>
      <c r="SFN17" s="14"/>
      <c r="SFO17" s="14"/>
      <c r="SFP17" s="14"/>
      <c r="SFQ17" s="14"/>
      <c r="SFR17" s="14"/>
      <c r="SFS17" s="14"/>
      <c r="SFT17" s="14"/>
      <c r="SFU17" s="14"/>
      <c r="SFV17" s="14"/>
      <c r="SFW17" s="14"/>
      <c r="SFX17" s="14"/>
      <c r="SFY17" s="14"/>
      <c r="SFZ17" s="14"/>
      <c r="SGA17" s="14"/>
      <c r="SGB17" s="14"/>
      <c r="SGC17" s="14"/>
      <c r="SGD17" s="14"/>
      <c r="SGE17" s="14"/>
      <c r="SGF17" s="14"/>
      <c r="SGG17" s="14"/>
      <c r="SGH17" s="14"/>
      <c r="SGI17" s="14"/>
      <c r="SGJ17" s="14"/>
      <c r="SGK17" s="14"/>
      <c r="SGL17" s="14"/>
      <c r="SGM17" s="14"/>
      <c r="SGN17" s="14"/>
      <c r="SGO17" s="14"/>
      <c r="SGP17" s="14"/>
      <c r="SGQ17" s="14"/>
      <c r="SGR17" s="14"/>
      <c r="SGS17" s="14"/>
      <c r="SGT17" s="14"/>
      <c r="SGU17" s="14"/>
      <c r="SGV17" s="14"/>
      <c r="SGW17" s="14"/>
      <c r="SGX17" s="14"/>
      <c r="SGY17" s="14"/>
      <c r="SGZ17" s="14"/>
      <c r="SHA17" s="14"/>
      <c r="SHB17" s="14"/>
      <c r="SHC17" s="14"/>
      <c r="SHD17" s="14"/>
      <c r="SHE17" s="14"/>
      <c r="SHF17" s="14"/>
      <c r="SHG17" s="14"/>
      <c r="SHH17" s="14"/>
      <c r="SHI17" s="14"/>
      <c r="SHJ17" s="14"/>
      <c r="SHK17" s="14"/>
      <c r="SHL17" s="14"/>
      <c r="SHM17" s="14"/>
      <c r="SHN17" s="14"/>
      <c r="SHO17" s="14"/>
      <c r="SHP17" s="14"/>
      <c r="SHQ17" s="14"/>
      <c r="SHR17" s="14"/>
      <c r="SHS17" s="14"/>
      <c r="SHT17" s="14"/>
      <c r="SHU17" s="14"/>
      <c r="SHV17" s="14"/>
      <c r="SHW17" s="14"/>
      <c r="SHX17" s="14"/>
      <c r="SHY17" s="14"/>
      <c r="SHZ17" s="14"/>
      <c r="SIA17" s="14"/>
      <c r="SIB17" s="14"/>
      <c r="SIC17" s="14"/>
      <c r="SID17" s="14"/>
      <c r="SIE17" s="14"/>
      <c r="SIF17" s="14"/>
      <c r="SIG17" s="14"/>
      <c r="SIH17" s="14"/>
      <c r="SII17" s="14"/>
      <c r="SIJ17" s="14"/>
      <c r="SIK17" s="14"/>
      <c r="SIL17" s="14"/>
      <c r="SIM17" s="14"/>
      <c r="SIN17" s="14"/>
      <c r="SIO17" s="14"/>
      <c r="SIP17" s="14"/>
      <c r="SIQ17" s="14"/>
      <c r="SIR17" s="14"/>
      <c r="SIS17" s="14"/>
      <c r="SIT17" s="14"/>
      <c r="SIU17" s="14"/>
      <c r="SIV17" s="14"/>
      <c r="SIW17" s="14"/>
      <c r="SIX17" s="14"/>
      <c r="SIY17" s="14"/>
      <c r="SIZ17" s="14"/>
      <c r="SJA17" s="14"/>
      <c r="SJB17" s="14"/>
      <c r="SJC17" s="14"/>
      <c r="SJD17" s="14"/>
      <c r="SJE17" s="14"/>
      <c r="SJF17" s="14"/>
      <c r="SJG17" s="14"/>
      <c r="SJH17" s="14"/>
      <c r="SJI17" s="14"/>
      <c r="SJJ17" s="14"/>
      <c r="SJK17" s="14"/>
      <c r="SJL17" s="14"/>
      <c r="SJM17" s="14"/>
      <c r="SJN17" s="14"/>
      <c r="SJO17" s="14"/>
      <c r="SJP17" s="14"/>
      <c r="SJQ17" s="14"/>
      <c r="SJR17" s="14"/>
      <c r="SJS17" s="14"/>
      <c r="SJT17" s="14"/>
      <c r="SJU17" s="14"/>
      <c r="SJV17" s="14"/>
      <c r="SJW17" s="14"/>
      <c r="SJX17" s="14"/>
      <c r="SJY17" s="14"/>
      <c r="SJZ17" s="14"/>
      <c r="SKA17" s="14"/>
      <c r="SKB17" s="14"/>
      <c r="SKC17" s="14"/>
      <c r="SKD17" s="14"/>
      <c r="SKE17" s="14"/>
      <c r="SKF17" s="14"/>
      <c r="SKG17" s="14"/>
      <c r="SKH17" s="14"/>
      <c r="SKI17" s="14"/>
      <c r="SKJ17" s="14"/>
      <c r="SKK17" s="14"/>
      <c r="SKL17" s="14"/>
      <c r="SKM17" s="14"/>
      <c r="SKN17" s="14"/>
      <c r="SKO17" s="14"/>
      <c r="SKP17" s="14"/>
      <c r="SKQ17" s="14"/>
      <c r="SKR17" s="14"/>
      <c r="SKS17" s="14"/>
      <c r="SKT17" s="14"/>
      <c r="SKU17" s="14"/>
      <c r="SKV17" s="14"/>
      <c r="SKW17" s="14"/>
      <c r="SKX17" s="14"/>
      <c r="SKY17" s="14"/>
      <c r="SKZ17" s="14"/>
      <c r="SLA17" s="14"/>
      <c r="SLB17" s="14"/>
      <c r="SLC17" s="14"/>
      <c r="SLD17" s="14"/>
      <c r="SLE17" s="14"/>
      <c r="SLF17" s="14"/>
      <c r="SLG17" s="14"/>
      <c r="SLH17" s="14"/>
      <c r="SLI17" s="14"/>
      <c r="SLJ17" s="14"/>
      <c r="SLK17" s="14"/>
      <c r="SLL17" s="14"/>
      <c r="SLM17" s="14"/>
      <c r="SLN17" s="14"/>
      <c r="SLO17" s="14"/>
      <c r="SLP17" s="14"/>
      <c r="SLQ17" s="14"/>
      <c r="SLR17" s="14"/>
      <c r="SLS17" s="14"/>
      <c r="SLT17" s="14"/>
      <c r="SLU17" s="14"/>
      <c r="SLV17" s="14"/>
      <c r="SLW17" s="14"/>
      <c r="SLX17" s="14"/>
      <c r="SLY17" s="14"/>
      <c r="SLZ17" s="14"/>
      <c r="SMA17" s="14"/>
      <c r="SMB17" s="14"/>
      <c r="SMC17" s="14"/>
      <c r="SMD17" s="14"/>
      <c r="SME17" s="14"/>
      <c r="SMF17" s="14"/>
      <c r="SMG17" s="14"/>
      <c r="SMH17" s="14"/>
      <c r="SMI17" s="14"/>
      <c r="SMJ17" s="14"/>
      <c r="SMK17" s="14"/>
      <c r="SML17" s="14"/>
      <c r="SMM17" s="14"/>
      <c r="SMN17" s="14"/>
      <c r="SMO17" s="14"/>
      <c r="SMP17" s="14"/>
      <c r="SMQ17" s="14"/>
      <c r="SMR17" s="14"/>
      <c r="SMS17" s="14"/>
      <c r="SMT17" s="14"/>
      <c r="SMU17" s="14"/>
      <c r="SMV17" s="14"/>
      <c r="SMW17" s="14"/>
      <c r="SMX17" s="14"/>
      <c r="SMY17" s="14"/>
      <c r="SMZ17" s="14"/>
      <c r="SNA17" s="14"/>
      <c r="SNB17" s="14"/>
      <c r="SNC17" s="14"/>
      <c r="SND17" s="14"/>
      <c r="SNE17" s="14"/>
      <c r="SNF17" s="14"/>
      <c r="SNG17" s="14"/>
      <c r="SNH17" s="14"/>
      <c r="SNI17" s="14"/>
      <c r="SNJ17" s="14"/>
      <c r="SNK17" s="14"/>
      <c r="SNL17" s="14"/>
      <c r="SNM17" s="14"/>
      <c r="SNN17" s="14"/>
      <c r="SNO17" s="14"/>
      <c r="SNP17" s="14"/>
      <c r="SNQ17" s="14"/>
      <c r="SNR17" s="14"/>
      <c r="SNS17" s="14"/>
      <c r="SNT17" s="14"/>
      <c r="SNU17" s="14"/>
      <c r="SNV17" s="14"/>
      <c r="SNW17" s="14"/>
      <c r="SNX17" s="14"/>
      <c r="SNY17" s="14"/>
      <c r="SNZ17" s="14"/>
      <c r="SOA17" s="14"/>
      <c r="SOB17" s="14"/>
      <c r="SOC17" s="14"/>
      <c r="SOD17" s="14"/>
      <c r="SOE17" s="14"/>
      <c r="SOF17" s="14"/>
      <c r="SOG17" s="14"/>
      <c r="SOH17" s="14"/>
      <c r="SOI17" s="14"/>
      <c r="SOJ17" s="14"/>
      <c r="SOK17" s="14"/>
      <c r="SOL17" s="14"/>
      <c r="SOM17" s="14"/>
      <c r="SON17" s="14"/>
      <c r="SOO17" s="14"/>
      <c r="SOP17" s="14"/>
      <c r="SOQ17" s="14"/>
      <c r="SOR17" s="14"/>
      <c r="SOS17" s="14"/>
      <c r="SOT17" s="14"/>
      <c r="SOU17" s="14"/>
      <c r="SOV17" s="14"/>
      <c r="SOW17" s="14"/>
      <c r="SOX17" s="14"/>
      <c r="SOY17" s="14"/>
      <c r="SOZ17" s="14"/>
      <c r="SPA17" s="14"/>
      <c r="SPB17" s="14"/>
      <c r="SPC17" s="14"/>
      <c r="SPD17" s="14"/>
      <c r="SPE17" s="14"/>
      <c r="SPF17" s="14"/>
      <c r="SPG17" s="14"/>
      <c r="SPH17" s="14"/>
      <c r="SPI17" s="14"/>
      <c r="SPJ17" s="14"/>
      <c r="SPK17" s="14"/>
      <c r="SPL17" s="14"/>
      <c r="SPM17" s="14"/>
      <c r="SPN17" s="14"/>
      <c r="SPO17" s="14"/>
      <c r="SPP17" s="14"/>
      <c r="SPQ17" s="14"/>
      <c r="SPR17" s="14"/>
      <c r="SPS17" s="14"/>
      <c r="SPT17" s="14"/>
      <c r="SPU17" s="14"/>
      <c r="SPV17" s="14"/>
      <c r="SPW17" s="14"/>
      <c r="SPX17" s="14"/>
      <c r="SPY17" s="14"/>
      <c r="SPZ17" s="14"/>
      <c r="SQA17" s="14"/>
      <c r="SQB17" s="14"/>
      <c r="SQC17" s="14"/>
      <c r="SQD17" s="14"/>
      <c r="SQE17" s="14"/>
      <c r="SQF17" s="14"/>
      <c r="SQG17" s="14"/>
      <c r="SQH17" s="14"/>
      <c r="SQI17" s="14"/>
      <c r="SQJ17" s="14"/>
      <c r="SQK17" s="14"/>
      <c r="SQL17" s="14"/>
      <c r="SQM17" s="14"/>
      <c r="SQN17" s="14"/>
      <c r="SQO17" s="14"/>
      <c r="SQP17" s="14"/>
      <c r="SQQ17" s="14"/>
      <c r="SQR17" s="14"/>
      <c r="SQS17" s="14"/>
      <c r="SQT17" s="14"/>
      <c r="SQU17" s="14"/>
      <c r="SQV17" s="14"/>
      <c r="SQW17" s="14"/>
      <c r="SQX17" s="14"/>
      <c r="SQY17" s="14"/>
      <c r="SQZ17" s="14"/>
      <c r="SRA17" s="14"/>
      <c r="SRB17" s="14"/>
      <c r="SRC17" s="14"/>
      <c r="SRD17" s="14"/>
      <c r="SRE17" s="14"/>
      <c r="SRF17" s="14"/>
      <c r="SRG17" s="14"/>
      <c r="SRH17" s="14"/>
      <c r="SRI17" s="14"/>
      <c r="SRJ17" s="14"/>
      <c r="SRK17" s="14"/>
      <c r="SRL17" s="14"/>
      <c r="SRM17" s="14"/>
      <c r="SRN17" s="14"/>
      <c r="SRO17" s="14"/>
      <c r="SRP17" s="14"/>
      <c r="SRQ17" s="14"/>
      <c r="SRR17" s="14"/>
      <c r="SRS17" s="14"/>
      <c r="SRT17" s="14"/>
      <c r="SRU17" s="14"/>
      <c r="SRV17" s="14"/>
      <c r="SRW17" s="14"/>
      <c r="SRX17" s="14"/>
      <c r="SRY17" s="14"/>
      <c r="SRZ17" s="14"/>
      <c r="SSA17" s="14"/>
      <c r="SSB17" s="14"/>
      <c r="SSC17" s="14"/>
      <c r="SSD17" s="14"/>
      <c r="SSE17" s="14"/>
      <c r="SSF17" s="14"/>
      <c r="SSG17" s="14"/>
      <c r="SSH17" s="14"/>
      <c r="SSI17" s="14"/>
      <c r="SSJ17" s="14"/>
      <c r="SSK17" s="14"/>
      <c r="SSL17" s="14"/>
      <c r="SSM17" s="14"/>
      <c r="SSN17" s="14"/>
      <c r="SSO17" s="14"/>
      <c r="SSP17" s="14"/>
      <c r="SSQ17" s="14"/>
      <c r="SSR17" s="14"/>
      <c r="SSS17" s="14"/>
      <c r="SST17" s="14"/>
      <c r="SSU17" s="14"/>
      <c r="SSV17" s="14"/>
      <c r="SSW17" s="14"/>
      <c r="SSX17" s="14"/>
      <c r="SSY17" s="14"/>
      <c r="SSZ17" s="14"/>
      <c r="STA17" s="14"/>
      <c r="STB17" s="14"/>
      <c r="STC17" s="14"/>
      <c r="STD17" s="14"/>
      <c r="STE17" s="14"/>
      <c r="STF17" s="14"/>
      <c r="STG17" s="14"/>
      <c r="STH17" s="14"/>
      <c r="STI17" s="14"/>
      <c r="STJ17" s="14"/>
      <c r="STK17" s="14"/>
      <c r="STL17" s="14"/>
      <c r="STM17" s="14"/>
      <c r="STN17" s="14"/>
      <c r="STO17" s="14"/>
      <c r="STP17" s="14"/>
      <c r="STQ17" s="14"/>
      <c r="STR17" s="14"/>
      <c r="STS17" s="14"/>
      <c r="STT17" s="14"/>
      <c r="STU17" s="14"/>
      <c r="STV17" s="14"/>
      <c r="STW17" s="14"/>
      <c r="STX17" s="14"/>
      <c r="STY17" s="14"/>
      <c r="STZ17" s="14"/>
      <c r="SUA17" s="14"/>
      <c r="SUB17" s="14"/>
      <c r="SUC17" s="14"/>
      <c r="SUD17" s="14"/>
      <c r="SUE17" s="14"/>
      <c r="SUF17" s="14"/>
      <c r="SUG17" s="14"/>
      <c r="SUH17" s="14"/>
      <c r="SUI17" s="14"/>
      <c r="SUJ17" s="14"/>
      <c r="SUK17" s="14"/>
      <c r="SUL17" s="14"/>
      <c r="SUM17" s="14"/>
      <c r="SUN17" s="14"/>
      <c r="SUO17" s="14"/>
      <c r="SUP17" s="14"/>
      <c r="SUQ17" s="14"/>
      <c r="SUR17" s="14"/>
      <c r="SUS17" s="14"/>
      <c r="SUT17" s="14"/>
      <c r="SUU17" s="14"/>
      <c r="SUV17" s="14"/>
      <c r="SUW17" s="14"/>
      <c r="SUX17" s="14"/>
      <c r="SUY17" s="14"/>
      <c r="SUZ17" s="14"/>
      <c r="SVA17" s="14"/>
      <c r="SVB17" s="14"/>
      <c r="SVC17" s="14"/>
      <c r="SVD17" s="14"/>
      <c r="SVE17" s="14"/>
      <c r="SVF17" s="14"/>
      <c r="SVG17" s="14"/>
      <c r="SVH17" s="14"/>
      <c r="SVI17" s="14"/>
      <c r="SVJ17" s="14"/>
      <c r="SVK17" s="14"/>
      <c r="SVL17" s="14"/>
      <c r="SVM17" s="14"/>
      <c r="SVN17" s="14"/>
      <c r="SVO17" s="14"/>
      <c r="SVP17" s="14"/>
      <c r="SVQ17" s="14"/>
      <c r="SVR17" s="14"/>
      <c r="SVS17" s="14"/>
      <c r="SVT17" s="14"/>
      <c r="SVU17" s="14"/>
      <c r="SVV17" s="14"/>
      <c r="SVW17" s="14"/>
      <c r="SVX17" s="14"/>
      <c r="SVY17" s="14"/>
      <c r="SVZ17" s="14"/>
      <c r="SWA17" s="14"/>
      <c r="SWB17" s="14"/>
      <c r="SWC17" s="14"/>
      <c r="SWD17" s="14"/>
      <c r="SWE17" s="14"/>
      <c r="SWF17" s="14"/>
      <c r="SWG17" s="14"/>
      <c r="SWH17" s="14"/>
      <c r="SWI17" s="14"/>
      <c r="SWJ17" s="14"/>
      <c r="SWK17" s="14"/>
      <c r="SWL17" s="14"/>
      <c r="SWM17" s="14"/>
      <c r="SWN17" s="14"/>
      <c r="SWO17" s="14"/>
      <c r="SWP17" s="14"/>
      <c r="SWQ17" s="14"/>
      <c r="SWR17" s="14"/>
      <c r="SWS17" s="14"/>
      <c r="SWT17" s="14"/>
      <c r="SWU17" s="14"/>
      <c r="SWV17" s="14"/>
      <c r="SWW17" s="14"/>
      <c r="SWX17" s="14"/>
      <c r="SWY17" s="14"/>
      <c r="SWZ17" s="14"/>
      <c r="SXA17" s="14"/>
      <c r="SXB17" s="14"/>
      <c r="SXC17" s="14"/>
      <c r="SXD17" s="14"/>
      <c r="SXE17" s="14"/>
      <c r="SXF17" s="14"/>
      <c r="SXG17" s="14"/>
      <c r="SXH17" s="14"/>
      <c r="SXI17" s="14"/>
      <c r="SXJ17" s="14"/>
      <c r="SXK17" s="14"/>
      <c r="SXL17" s="14"/>
      <c r="SXM17" s="14"/>
      <c r="SXN17" s="14"/>
      <c r="SXO17" s="14"/>
      <c r="SXP17" s="14"/>
      <c r="SXQ17" s="14"/>
      <c r="SXR17" s="14"/>
      <c r="SXS17" s="14"/>
      <c r="SXT17" s="14"/>
      <c r="SXU17" s="14"/>
      <c r="SXV17" s="14"/>
      <c r="SXW17" s="14"/>
      <c r="SXX17" s="14"/>
      <c r="SXY17" s="14"/>
      <c r="SXZ17" s="14"/>
      <c r="SYA17" s="14"/>
      <c r="SYB17" s="14"/>
      <c r="SYC17" s="14"/>
      <c r="SYD17" s="14"/>
      <c r="SYE17" s="14"/>
      <c r="SYF17" s="14"/>
      <c r="SYG17" s="14"/>
      <c r="SYH17" s="14"/>
      <c r="SYI17" s="14"/>
      <c r="SYJ17" s="14"/>
      <c r="SYK17" s="14"/>
      <c r="SYL17" s="14"/>
      <c r="SYM17" s="14"/>
      <c r="SYN17" s="14"/>
      <c r="SYO17" s="14"/>
      <c r="SYP17" s="14"/>
      <c r="SYQ17" s="14"/>
      <c r="SYR17" s="14"/>
      <c r="SYS17" s="14"/>
      <c r="SYT17" s="14"/>
      <c r="SYU17" s="14"/>
      <c r="SYV17" s="14"/>
      <c r="SYW17" s="14"/>
      <c r="SYX17" s="14"/>
      <c r="SYY17" s="14"/>
      <c r="SYZ17" s="14"/>
      <c r="SZA17" s="14"/>
      <c r="SZB17" s="14"/>
      <c r="SZC17" s="14"/>
      <c r="SZD17" s="14"/>
      <c r="SZE17" s="14"/>
      <c r="SZF17" s="14"/>
      <c r="SZG17" s="14"/>
      <c r="SZH17" s="14"/>
      <c r="SZI17" s="14"/>
      <c r="SZJ17" s="14"/>
      <c r="SZK17" s="14"/>
      <c r="SZL17" s="14"/>
      <c r="SZM17" s="14"/>
      <c r="SZN17" s="14"/>
      <c r="SZO17" s="14"/>
      <c r="SZP17" s="14"/>
      <c r="SZQ17" s="14"/>
      <c r="SZR17" s="14"/>
      <c r="SZS17" s="14"/>
      <c r="SZT17" s="14"/>
      <c r="SZU17" s="14"/>
      <c r="SZV17" s="14"/>
      <c r="SZW17" s="14"/>
      <c r="SZX17" s="14"/>
      <c r="SZY17" s="14"/>
      <c r="SZZ17" s="14"/>
      <c r="TAA17" s="14"/>
      <c r="TAB17" s="14"/>
      <c r="TAC17" s="14"/>
      <c r="TAD17" s="14"/>
      <c r="TAE17" s="14"/>
      <c r="TAF17" s="14"/>
      <c r="TAG17" s="14"/>
      <c r="TAH17" s="14"/>
      <c r="TAI17" s="14"/>
      <c r="TAJ17" s="14"/>
      <c r="TAK17" s="14"/>
      <c r="TAL17" s="14"/>
      <c r="TAM17" s="14"/>
      <c r="TAN17" s="14"/>
      <c r="TAO17" s="14"/>
      <c r="TAP17" s="14"/>
      <c r="TAQ17" s="14"/>
      <c r="TAR17" s="14"/>
      <c r="TAS17" s="14"/>
      <c r="TAT17" s="14"/>
      <c r="TAU17" s="14"/>
      <c r="TAV17" s="14"/>
      <c r="TAW17" s="14"/>
      <c r="TAX17" s="14"/>
      <c r="TAY17" s="14"/>
      <c r="TAZ17" s="14"/>
      <c r="TBA17" s="14"/>
      <c r="TBB17" s="14"/>
      <c r="TBC17" s="14"/>
      <c r="TBD17" s="14"/>
      <c r="TBE17" s="14"/>
      <c r="TBF17" s="14"/>
      <c r="TBG17" s="14"/>
      <c r="TBH17" s="14"/>
      <c r="TBI17" s="14"/>
      <c r="TBJ17" s="14"/>
      <c r="TBK17" s="14"/>
      <c r="TBL17" s="14"/>
      <c r="TBM17" s="14"/>
      <c r="TBN17" s="14"/>
      <c r="TBO17" s="14"/>
      <c r="TBP17" s="14"/>
      <c r="TBQ17" s="14"/>
      <c r="TBR17" s="14"/>
      <c r="TBS17" s="14"/>
      <c r="TBT17" s="14"/>
      <c r="TBU17" s="14"/>
      <c r="TBV17" s="14"/>
      <c r="TBW17" s="14"/>
      <c r="TBX17" s="14"/>
      <c r="TBY17" s="14"/>
      <c r="TBZ17" s="14"/>
      <c r="TCA17" s="14"/>
      <c r="TCB17" s="14"/>
      <c r="TCC17" s="14"/>
      <c r="TCD17" s="14"/>
      <c r="TCE17" s="14"/>
      <c r="TCF17" s="14"/>
      <c r="TCG17" s="14"/>
      <c r="TCH17" s="14"/>
      <c r="TCI17" s="14"/>
      <c r="TCJ17" s="14"/>
      <c r="TCK17" s="14"/>
      <c r="TCL17" s="14"/>
      <c r="TCM17" s="14"/>
      <c r="TCN17" s="14"/>
      <c r="TCO17" s="14"/>
      <c r="TCP17" s="14"/>
      <c r="TCQ17" s="14"/>
      <c r="TCR17" s="14"/>
      <c r="TCS17" s="14"/>
      <c r="TCT17" s="14"/>
      <c r="TCU17" s="14"/>
      <c r="TCV17" s="14"/>
      <c r="TCW17" s="14"/>
      <c r="TCX17" s="14"/>
      <c r="TCY17" s="14"/>
      <c r="TCZ17" s="14"/>
      <c r="TDA17" s="14"/>
      <c r="TDB17" s="14"/>
      <c r="TDC17" s="14"/>
      <c r="TDD17" s="14"/>
      <c r="TDE17" s="14"/>
      <c r="TDF17" s="14"/>
      <c r="TDG17" s="14"/>
      <c r="TDH17" s="14"/>
      <c r="TDI17" s="14"/>
      <c r="TDJ17" s="14"/>
      <c r="TDK17" s="14"/>
      <c r="TDL17" s="14"/>
      <c r="TDM17" s="14"/>
      <c r="TDN17" s="14"/>
      <c r="TDO17" s="14"/>
      <c r="TDP17" s="14"/>
      <c r="TDQ17" s="14"/>
      <c r="TDR17" s="14"/>
      <c r="TDS17" s="14"/>
      <c r="TDT17" s="14"/>
      <c r="TDU17" s="14"/>
      <c r="TDV17" s="14"/>
      <c r="TDW17" s="14"/>
      <c r="TDX17" s="14"/>
      <c r="TDY17" s="14"/>
      <c r="TDZ17" s="14"/>
      <c r="TEA17" s="14"/>
      <c r="TEB17" s="14"/>
      <c r="TEC17" s="14"/>
      <c r="TED17" s="14"/>
      <c r="TEE17" s="14"/>
      <c r="TEF17" s="14"/>
      <c r="TEG17" s="14"/>
      <c r="TEH17" s="14"/>
      <c r="TEI17" s="14"/>
      <c r="TEJ17" s="14"/>
      <c r="TEK17" s="14"/>
      <c r="TEL17" s="14"/>
      <c r="TEM17" s="14"/>
      <c r="TEN17" s="14"/>
      <c r="TEO17" s="14"/>
      <c r="TEP17" s="14"/>
      <c r="TEQ17" s="14"/>
      <c r="TER17" s="14"/>
      <c r="TES17" s="14"/>
      <c r="TET17" s="14"/>
      <c r="TEU17" s="14"/>
      <c r="TEV17" s="14"/>
      <c r="TEW17" s="14"/>
      <c r="TEX17" s="14"/>
      <c r="TEY17" s="14"/>
      <c r="TEZ17" s="14"/>
      <c r="TFA17" s="14"/>
      <c r="TFB17" s="14"/>
      <c r="TFC17" s="14"/>
      <c r="TFD17" s="14"/>
      <c r="TFE17" s="14"/>
      <c r="TFF17" s="14"/>
      <c r="TFG17" s="14"/>
      <c r="TFH17" s="14"/>
      <c r="TFI17" s="14"/>
      <c r="TFJ17" s="14"/>
      <c r="TFK17" s="14"/>
      <c r="TFL17" s="14"/>
      <c r="TFM17" s="14"/>
      <c r="TFN17" s="14"/>
      <c r="TFO17" s="14"/>
      <c r="TFP17" s="14"/>
      <c r="TFQ17" s="14"/>
      <c r="TFR17" s="14"/>
      <c r="TFS17" s="14"/>
      <c r="TFT17" s="14"/>
      <c r="TFU17" s="14"/>
      <c r="TFV17" s="14"/>
      <c r="TFW17" s="14"/>
      <c r="TFX17" s="14"/>
      <c r="TFY17" s="14"/>
      <c r="TFZ17" s="14"/>
      <c r="TGA17" s="14"/>
      <c r="TGB17" s="14"/>
      <c r="TGC17" s="14"/>
      <c r="TGD17" s="14"/>
      <c r="TGE17" s="14"/>
      <c r="TGF17" s="14"/>
      <c r="TGG17" s="14"/>
      <c r="TGH17" s="14"/>
      <c r="TGI17" s="14"/>
      <c r="TGJ17" s="14"/>
      <c r="TGK17" s="14"/>
      <c r="TGL17" s="14"/>
      <c r="TGM17" s="14"/>
      <c r="TGN17" s="14"/>
      <c r="TGO17" s="14"/>
      <c r="TGP17" s="14"/>
      <c r="TGQ17" s="14"/>
      <c r="TGR17" s="14"/>
      <c r="TGS17" s="14"/>
      <c r="TGT17" s="14"/>
      <c r="TGU17" s="14"/>
      <c r="TGV17" s="14"/>
      <c r="TGW17" s="14"/>
      <c r="TGX17" s="14"/>
      <c r="TGY17" s="14"/>
      <c r="TGZ17" s="14"/>
      <c r="THA17" s="14"/>
      <c r="THB17" s="14"/>
      <c r="THC17" s="14"/>
      <c r="THD17" s="14"/>
      <c r="THE17" s="14"/>
      <c r="THF17" s="14"/>
      <c r="THG17" s="14"/>
      <c r="THH17" s="14"/>
      <c r="THI17" s="14"/>
      <c r="THJ17" s="14"/>
      <c r="THK17" s="14"/>
      <c r="THL17" s="14"/>
      <c r="THM17" s="14"/>
      <c r="THN17" s="14"/>
      <c r="THO17" s="14"/>
      <c r="THP17" s="14"/>
      <c r="THQ17" s="14"/>
      <c r="THR17" s="14"/>
      <c r="THS17" s="14"/>
      <c r="THT17" s="14"/>
      <c r="THU17" s="14"/>
      <c r="THV17" s="14"/>
      <c r="THW17" s="14"/>
      <c r="THX17" s="14"/>
      <c r="THY17" s="14"/>
      <c r="THZ17" s="14"/>
      <c r="TIA17" s="14"/>
      <c r="TIB17" s="14"/>
      <c r="TIC17" s="14"/>
      <c r="TID17" s="14"/>
      <c r="TIE17" s="14"/>
      <c r="TIF17" s="14"/>
      <c r="TIG17" s="14"/>
      <c r="TIH17" s="14"/>
      <c r="TII17" s="14"/>
      <c r="TIJ17" s="14"/>
      <c r="TIK17" s="14"/>
      <c r="TIL17" s="14"/>
      <c r="TIM17" s="14"/>
      <c r="TIN17" s="14"/>
      <c r="TIO17" s="14"/>
      <c r="TIP17" s="14"/>
      <c r="TIQ17" s="14"/>
      <c r="TIR17" s="14"/>
      <c r="TIS17" s="14"/>
      <c r="TIT17" s="14"/>
      <c r="TIU17" s="14"/>
      <c r="TIV17" s="14"/>
      <c r="TIW17" s="14"/>
      <c r="TIX17" s="14"/>
      <c r="TIY17" s="14"/>
      <c r="TIZ17" s="14"/>
      <c r="TJA17" s="14"/>
      <c r="TJB17" s="14"/>
      <c r="TJC17" s="14"/>
      <c r="TJD17" s="14"/>
      <c r="TJE17" s="14"/>
      <c r="TJF17" s="14"/>
      <c r="TJG17" s="14"/>
      <c r="TJH17" s="14"/>
      <c r="TJI17" s="14"/>
      <c r="TJJ17" s="14"/>
      <c r="TJK17" s="14"/>
      <c r="TJL17" s="14"/>
      <c r="TJM17" s="14"/>
      <c r="TJN17" s="14"/>
      <c r="TJO17" s="14"/>
      <c r="TJP17" s="14"/>
      <c r="TJQ17" s="14"/>
      <c r="TJR17" s="14"/>
      <c r="TJS17" s="14"/>
      <c r="TJT17" s="14"/>
      <c r="TJU17" s="14"/>
      <c r="TJV17" s="14"/>
      <c r="TJW17" s="14"/>
      <c r="TJX17" s="14"/>
      <c r="TJY17" s="14"/>
      <c r="TJZ17" s="14"/>
      <c r="TKA17" s="14"/>
      <c r="TKB17" s="14"/>
      <c r="TKC17" s="14"/>
      <c r="TKD17" s="14"/>
      <c r="TKE17" s="14"/>
      <c r="TKF17" s="14"/>
      <c r="TKG17" s="14"/>
      <c r="TKH17" s="14"/>
      <c r="TKI17" s="14"/>
      <c r="TKJ17" s="14"/>
      <c r="TKK17" s="14"/>
      <c r="TKL17" s="14"/>
      <c r="TKM17" s="14"/>
      <c r="TKN17" s="14"/>
      <c r="TKO17" s="14"/>
      <c r="TKP17" s="14"/>
      <c r="TKQ17" s="14"/>
      <c r="TKR17" s="14"/>
      <c r="TKS17" s="14"/>
      <c r="TKT17" s="14"/>
      <c r="TKU17" s="14"/>
      <c r="TKV17" s="14"/>
      <c r="TKW17" s="14"/>
      <c r="TKX17" s="14"/>
      <c r="TKY17" s="14"/>
      <c r="TKZ17" s="14"/>
      <c r="TLA17" s="14"/>
      <c r="TLB17" s="14"/>
      <c r="TLC17" s="14"/>
      <c r="TLD17" s="14"/>
      <c r="TLE17" s="14"/>
      <c r="TLF17" s="14"/>
      <c r="TLG17" s="14"/>
      <c r="TLH17" s="14"/>
      <c r="TLI17" s="14"/>
      <c r="TLJ17" s="14"/>
      <c r="TLK17" s="14"/>
      <c r="TLL17" s="14"/>
      <c r="TLM17" s="14"/>
      <c r="TLN17" s="14"/>
      <c r="TLO17" s="14"/>
      <c r="TLP17" s="14"/>
      <c r="TLQ17" s="14"/>
      <c r="TLR17" s="14"/>
      <c r="TLS17" s="14"/>
      <c r="TLT17" s="14"/>
      <c r="TLU17" s="14"/>
      <c r="TLV17" s="14"/>
      <c r="TLW17" s="14"/>
      <c r="TLX17" s="14"/>
      <c r="TLY17" s="14"/>
      <c r="TLZ17" s="14"/>
      <c r="TMA17" s="14"/>
      <c r="TMB17" s="14"/>
      <c r="TMC17" s="14"/>
      <c r="TMD17" s="14"/>
      <c r="TME17" s="14"/>
      <c r="TMF17" s="14"/>
      <c r="TMG17" s="14"/>
      <c r="TMH17" s="14"/>
      <c r="TMI17" s="14"/>
      <c r="TMJ17" s="14"/>
      <c r="TMK17" s="14"/>
      <c r="TML17" s="14"/>
      <c r="TMM17" s="14"/>
      <c r="TMN17" s="14"/>
      <c r="TMO17" s="14"/>
      <c r="TMP17" s="14"/>
      <c r="TMQ17" s="14"/>
      <c r="TMR17" s="14"/>
      <c r="TMS17" s="14"/>
      <c r="TMT17" s="14"/>
      <c r="TMU17" s="14"/>
      <c r="TMV17" s="14"/>
      <c r="TMW17" s="14"/>
      <c r="TMX17" s="14"/>
      <c r="TMY17" s="14"/>
      <c r="TMZ17" s="14"/>
      <c r="TNA17" s="14"/>
      <c r="TNB17" s="14"/>
      <c r="TNC17" s="14"/>
      <c r="TND17" s="14"/>
      <c r="TNE17" s="14"/>
      <c r="TNF17" s="14"/>
      <c r="TNG17" s="14"/>
      <c r="TNH17" s="14"/>
      <c r="TNI17" s="14"/>
      <c r="TNJ17" s="14"/>
      <c r="TNK17" s="14"/>
      <c r="TNL17" s="14"/>
      <c r="TNM17" s="14"/>
      <c r="TNN17" s="14"/>
      <c r="TNO17" s="14"/>
      <c r="TNP17" s="14"/>
      <c r="TNQ17" s="14"/>
      <c r="TNR17" s="14"/>
      <c r="TNS17" s="14"/>
      <c r="TNT17" s="14"/>
      <c r="TNU17" s="14"/>
      <c r="TNV17" s="14"/>
      <c r="TNW17" s="14"/>
      <c r="TNX17" s="14"/>
      <c r="TNY17" s="14"/>
      <c r="TNZ17" s="14"/>
      <c r="TOA17" s="14"/>
      <c r="TOB17" s="14"/>
      <c r="TOC17" s="14"/>
      <c r="TOD17" s="14"/>
      <c r="TOE17" s="14"/>
      <c r="TOF17" s="14"/>
      <c r="TOG17" s="14"/>
      <c r="TOH17" s="14"/>
      <c r="TOI17" s="14"/>
      <c r="TOJ17" s="14"/>
      <c r="TOK17" s="14"/>
      <c r="TOL17" s="14"/>
      <c r="TOM17" s="14"/>
      <c r="TON17" s="14"/>
      <c r="TOO17" s="14"/>
      <c r="TOP17" s="14"/>
      <c r="TOQ17" s="14"/>
      <c r="TOR17" s="14"/>
      <c r="TOS17" s="14"/>
      <c r="TOT17" s="14"/>
      <c r="TOU17" s="14"/>
      <c r="TOV17" s="14"/>
      <c r="TOW17" s="14"/>
      <c r="TOX17" s="14"/>
      <c r="TOY17" s="14"/>
      <c r="TOZ17" s="14"/>
      <c r="TPA17" s="14"/>
      <c r="TPB17" s="14"/>
      <c r="TPC17" s="14"/>
      <c r="TPD17" s="14"/>
      <c r="TPE17" s="14"/>
      <c r="TPF17" s="14"/>
      <c r="TPG17" s="14"/>
      <c r="TPH17" s="14"/>
      <c r="TPI17" s="14"/>
      <c r="TPJ17" s="14"/>
      <c r="TPK17" s="14"/>
      <c r="TPL17" s="14"/>
      <c r="TPM17" s="14"/>
      <c r="TPN17" s="14"/>
      <c r="TPO17" s="14"/>
      <c r="TPP17" s="14"/>
      <c r="TPQ17" s="14"/>
      <c r="TPR17" s="14"/>
      <c r="TPS17" s="14"/>
      <c r="TPT17" s="14"/>
      <c r="TPU17" s="14"/>
      <c r="TPV17" s="14"/>
      <c r="TPW17" s="14"/>
      <c r="TPX17" s="14"/>
      <c r="TPY17" s="14"/>
      <c r="TPZ17" s="14"/>
      <c r="TQA17" s="14"/>
      <c r="TQB17" s="14"/>
      <c r="TQC17" s="14"/>
      <c r="TQD17" s="14"/>
      <c r="TQE17" s="14"/>
      <c r="TQF17" s="14"/>
      <c r="TQG17" s="14"/>
      <c r="TQH17" s="14"/>
      <c r="TQI17" s="14"/>
      <c r="TQJ17" s="14"/>
      <c r="TQK17" s="14"/>
      <c r="TQL17" s="14"/>
      <c r="TQM17" s="14"/>
      <c r="TQN17" s="14"/>
      <c r="TQO17" s="14"/>
      <c r="TQP17" s="14"/>
      <c r="TQQ17" s="14"/>
      <c r="TQR17" s="14"/>
      <c r="TQS17" s="14"/>
      <c r="TQT17" s="14"/>
      <c r="TQU17" s="14"/>
      <c r="TQV17" s="14"/>
      <c r="TQW17" s="14"/>
      <c r="TQX17" s="14"/>
      <c r="TQY17" s="14"/>
      <c r="TQZ17" s="14"/>
      <c r="TRA17" s="14"/>
      <c r="TRB17" s="14"/>
      <c r="TRC17" s="14"/>
      <c r="TRD17" s="14"/>
      <c r="TRE17" s="14"/>
      <c r="TRF17" s="14"/>
      <c r="TRG17" s="14"/>
      <c r="TRH17" s="14"/>
      <c r="TRI17" s="14"/>
      <c r="TRJ17" s="14"/>
      <c r="TRK17" s="14"/>
      <c r="TRL17" s="14"/>
      <c r="TRM17" s="14"/>
      <c r="TRN17" s="14"/>
      <c r="TRO17" s="14"/>
      <c r="TRP17" s="14"/>
      <c r="TRQ17" s="14"/>
      <c r="TRR17" s="14"/>
      <c r="TRS17" s="14"/>
      <c r="TRT17" s="14"/>
      <c r="TRU17" s="14"/>
      <c r="TRV17" s="14"/>
      <c r="TRW17" s="14"/>
      <c r="TRX17" s="14"/>
      <c r="TRY17" s="14"/>
      <c r="TRZ17" s="14"/>
      <c r="TSA17" s="14"/>
      <c r="TSB17" s="14"/>
      <c r="TSC17" s="14"/>
      <c r="TSD17" s="14"/>
      <c r="TSE17" s="14"/>
      <c r="TSF17" s="14"/>
      <c r="TSG17" s="14"/>
      <c r="TSH17" s="14"/>
      <c r="TSI17" s="14"/>
      <c r="TSJ17" s="14"/>
      <c r="TSK17" s="14"/>
      <c r="TSL17" s="14"/>
      <c r="TSM17" s="14"/>
      <c r="TSN17" s="14"/>
      <c r="TSO17" s="14"/>
      <c r="TSP17" s="14"/>
      <c r="TSQ17" s="14"/>
      <c r="TSR17" s="14"/>
      <c r="TSS17" s="14"/>
      <c r="TST17" s="14"/>
      <c r="TSU17" s="14"/>
      <c r="TSV17" s="14"/>
      <c r="TSW17" s="14"/>
      <c r="TSX17" s="14"/>
      <c r="TSY17" s="14"/>
      <c r="TSZ17" s="14"/>
      <c r="TTA17" s="14"/>
      <c r="TTB17" s="14"/>
      <c r="TTC17" s="14"/>
      <c r="TTD17" s="14"/>
      <c r="TTE17" s="14"/>
      <c r="TTF17" s="14"/>
      <c r="TTG17" s="14"/>
      <c r="TTH17" s="14"/>
      <c r="TTI17" s="14"/>
      <c r="TTJ17" s="14"/>
      <c r="TTK17" s="14"/>
      <c r="TTL17" s="14"/>
      <c r="TTM17" s="14"/>
      <c r="TTN17" s="14"/>
      <c r="TTO17" s="14"/>
      <c r="TTP17" s="14"/>
      <c r="TTQ17" s="14"/>
      <c r="TTR17" s="14"/>
      <c r="TTS17" s="14"/>
      <c r="TTT17" s="14"/>
      <c r="TTU17" s="14"/>
      <c r="TTV17" s="14"/>
      <c r="TTW17" s="14"/>
      <c r="TTX17" s="14"/>
      <c r="TTY17" s="14"/>
      <c r="TTZ17" s="14"/>
      <c r="TUA17" s="14"/>
      <c r="TUB17" s="14"/>
      <c r="TUC17" s="14"/>
      <c r="TUD17" s="14"/>
      <c r="TUE17" s="14"/>
      <c r="TUF17" s="14"/>
      <c r="TUG17" s="14"/>
      <c r="TUH17" s="14"/>
      <c r="TUI17" s="14"/>
      <c r="TUJ17" s="14"/>
      <c r="TUK17" s="14"/>
      <c r="TUL17" s="14"/>
      <c r="TUM17" s="14"/>
      <c r="TUN17" s="14"/>
      <c r="TUO17" s="14"/>
      <c r="TUP17" s="14"/>
      <c r="TUQ17" s="14"/>
      <c r="TUR17" s="14"/>
      <c r="TUS17" s="14"/>
      <c r="TUT17" s="14"/>
      <c r="TUU17" s="14"/>
      <c r="TUV17" s="14"/>
      <c r="TUW17" s="14"/>
      <c r="TUX17" s="14"/>
      <c r="TUY17" s="14"/>
      <c r="TUZ17" s="14"/>
      <c r="TVA17" s="14"/>
      <c r="TVB17" s="14"/>
      <c r="TVC17" s="14"/>
      <c r="TVD17" s="14"/>
      <c r="TVE17" s="14"/>
      <c r="TVF17" s="14"/>
      <c r="TVG17" s="14"/>
      <c r="TVH17" s="14"/>
      <c r="TVI17" s="14"/>
      <c r="TVJ17" s="14"/>
      <c r="TVK17" s="14"/>
      <c r="TVL17" s="14"/>
      <c r="TVM17" s="14"/>
      <c r="TVN17" s="14"/>
      <c r="TVO17" s="14"/>
      <c r="TVP17" s="14"/>
      <c r="TVQ17" s="14"/>
      <c r="TVR17" s="14"/>
      <c r="TVS17" s="14"/>
      <c r="TVT17" s="14"/>
      <c r="TVU17" s="14"/>
      <c r="TVV17" s="14"/>
      <c r="TVW17" s="14"/>
      <c r="TVX17" s="14"/>
      <c r="TVY17" s="14"/>
      <c r="TVZ17" s="14"/>
      <c r="TWA17" s="14"/>
      <c r="TWB17" s="14"/>
      <c r="TWC17" s="14"/>
      <c r="TWD17" s="14"/>
      <c r="TWE17" s="14"/>
      <c r="TWF17" s="14"/>
      <c r="TWG17" s="14"/>
      <c r="TWH17" s="14"/>
      <c r="TWI17" s="14"/>
      <c r="TWJ17" s="14"/>
      <c r="TWK17" s="14"/>
      <c r="TWL17" s="14"/>
      <c r="TWM17" s="14"/>
      <c r="TWN17" s="14"/>
      <c r="TWO17" s="14"/>
      <c r="TWP17" s="14"/>
      <c r="TWQ17" s="14"/>
      <c r="TWR17" s="14"/>
      <c r="TWS17" s="14"/>
      <c r="TWT17" s="14"/>
      <c r="TWU17" s="14"/>
      <c r="TWV17" s="14"/>
      <c r="TWW17" s="14"/>
      <c r="TWX17" s="14"/>
      <c r="TWY17" s="14"/>
      <c r="TWZ17" s="14"/>
      <c r="TXA17" s="14"/>
      <c r="TXB17" s="14"/>
      <c r="TXC17" s="14"/>
      <c r="TXD17" s="14"/>
      <c r="TXE17" s="14"/>
      <c r="TXF17" s="14"/>
      <c r="TXG17" s="14"/>
      <c r="TXH17" s="14"/>
      <c r="TXI17" s="14"/>
      <c r="TXJ17" s="14"/>
      <c r="TXK17" s="14"/>
      <c r="TXL17" s="14"/>
      <c r="TXM17" s="14"/>
      <c r="TXN17" s="14"/>
      <c r="TXO17" s="14"/>
      <c r="TXP17" s="14"/>
      <c r="TXQ17" s="14"/>
      <c r="TXR17" s="14"/>
      <c r="TXS17" s="14"/>
      <c r="TXT17" s="14"/>
      <c r="TXU17" s="14"/>
      <c r="TXV17" s="14"/>
      <c r="TXW17" s="14"/>
      <c r="TXX17" s="14"/>
      <c r="TXY17" s="14"/>
      <c r="TXZ17" s="14"/>
      <c r="TYA17" s="14"/>
      <c r="TYB17" s="14"/>
      <c r="TYC17" s="14"/>
      <c r="TYD17" s="14"/>
      <c r="TYE17" s="14"/>
      <c r="TYF17" s="14"/>
      <c r="TYG17" s="14"/>
      <c r="TYH17" s="14"/>
      <c r="TYI17" s="14"/>
      <c r="TYJ17" s="14"/>
      <c r="TYK17" s="14"/>
      <c r="TYL17" s="14"/>
      <c r="TYM17" s="14"/>
      <c r="TYN17" s="14"/>
      <c r="TYO17" s="14"/>
      <c r="TYP17" s="14"/>
      <c r="TYQ17" s="14"/>
      <c r="TYR17" s="14"/>
      <c r="TYS17" s="14"/>
      <c r="TYT17" s="14"/>
      <c r="TYU17" s="14"/>
      <c r="TYV17" s="14"/>
      <c r="TYW17" s="14"/>
      <c r="TYX17" s="14"/>
      <c r="TYY17" s="14"/>
      <c r="TYZ17" s="14"/>
      <c r="TZA17" s="14"/>
      <c r="TZB17" s="14"/>
      <c r="TZC17" s="14"/>
      <c r="TZD17" s="14"/>
      <c r="TZE17" s="14"/>
      <c r="TZF17" s="14"/>
      <c r="TZG17" s="14"/>
      <c r="TZH17" s="14"/>
      <c r="TZI17" s="14"/>
      <c r="TZJ17" s="14"/>
      <c r="TZK17" s="14"/>
      <c r="TZL17" s="14"/>
      <c r="TZM17" s="14"/>
      <c r="TZN17" s="14"/>
      <c r="TZO17" s="14"/>
      <c r="TZP17" s="14"/>
      <c r="TZQ17" s="14"/>
      <c r="TZR17" s="14"/>
      <c r="TZS17" s="14"/>
      <c r="TZT17" s="14"/>
      <c r="TZU17" s="14"/>
      <c r="TZV17" s="14"/>
      <c r="TZW17" s="14"/>
      <c r="TZX17" s="14"/>
      <c r="TZY17" s="14"/>
      <c r="TZZ17" s="14"/>
      <c r="UAA17" s="14"/>
      <c r="UAB17" s="14"/>
      <c r="UAC17" s="14"/>
      <c r="UAD17" s="14"/>
      <c r="UAE17" s="14"/>
      <c r="UAF17" s="14"/>
      <c r="UAG17" s="14"/>
      <c r="UAH17" s="14"/>
      <c r="UAI17" s="14"/>
      <c r="UAJ17" s="14"/>
      <c r="UAK17" s="14"/>
      <c r="UAL17" s="14"/>
      <c r="UAM17" s="14"/>
      <c r="UAN17" s="14"/>
      <c r="UAO17" s="14"/>
      <c r="UAP17" s="14"/>
      <c r="UAQ17" s="14"/>
      <c r="UAR17" s="14"/>
      <c r="UAS17" s="14"/>
      <c r="UAT17" s="14"/>
      <c r="UAU17" s="14"/>
      <c r="UAV17" s="14"/>
      <c r="UAW17" s="14"/>
      <c r="UAX17" s="14"/>
      <c r="UAY17" s="14"/>
      <c r="UAZ17" s="14"/>
      <c r="UBA17" s="14"/>
      <c r="UBB17" s="14"/>
      <c r="UBC17" s="14"/>
      <c r="UBD17" s="14"/>
      <c r="UBE17" s="14"/>
      <c r="UBF17" s="14"/>
      <c r="UBG17" s="14"/>
      <c r="UBH17" s="14"/>
      <c r="UBI17" s="14"/>
      <c r="UBJ17" s="14"/>
      <c r="UBK17" s="14"/>
      <c r="UBL17" s="14"/>
      <c r="UBM17" s="14"/>
      <c r="UBN17" s="14"/>
      <c r="UBO17" s="14"/>
      <c r="UBP17" s="14"/>
      <c r="UBQ17" s="14"/>
      <c r="UBR17" s="14"/>
      <c r="UBS17" s="14"/>
      <c r="UBT17" s="14"/>
      <c r="UBU17" s="14"/>
      <c r="UBV17" s="14"/>
      <c r="UBW17" s="14"/>
      <c r="UBX17" s="14"/>
      <c r="UBY17" s="14"/>
      <c r="UBZ17" s="14"/>
      <c r="UCA17" s="14"/>
      <c r="UCB17" s="14"/>
      <c r="UCC17" s="14"/>
      <c r="UCD17" s="14"/>
      <c r="UCE17" s="14"/>
      <c r="UCF17" s="14"/>
      <c r="UCG17" s="14"/>
      <c r="UCH17" s="14"/>
      <c r="UCI17" s="14"/>
      <c r="UCJ17" s="14"/>
      <c r="UCK17" s="14"/>
      <c r="UCL17" s="14"/>
      <c r="UCM17" s="14"/>
      <c r="UCN17" s="14"/>
      <c r="UCO17" s="14"/>
      <c r="UCP17" s="14"/>
      <c r="UCQ17" s="14"/>
      <c r="UCR17" s="14"/>
      <c r="UCS17" s="14"/>
      <c r="UCT17" s="14"/>
      <c r="UCU17" s="14"/>
      <c r="UCV17" s="14"/>
      <c r="UCW17" s="14"/>
      <c r="UCX17" s="14"/>
      <c r="UCY17" s="14"/>
      <c r="UCZ17" s="14"/>
      <c r="UDA17" s="14"/>
      <c r="UDB17" s="14"/>
      <c r="UDC17" s="14"/>
      <c r="UDD17" s="14"/>
      <c r="UDE17" s="14"/>
      <c r="UDF17" s="14"/>
      <c r="UDG17" s="14"/>
      <c r="UDH17" s="14"/>
      <c r="UDI17" s="14"/>
      <c r="UDJ17" s="14"/>
      <c r="UDK17" s="14"/>
      <c r="UDL17" s="14"/>
      <c r="UDM17" s="14"/>
      <c r="UDN17" s="14"/>
      <c r="UDO17" s="14"/>
      <c r="UDP17" s="14"/>
      <c r="UDQ17" s="14"/>
      <c r="UDR17" s="14"/>
      <c r="UDS17" s="14"/>
      <c r="UDT17" s="14"/>
      <c r="UDU17" s="14"/>
      <c r="UDV17" s="14"/>
      <c r="UDW17" s="14"/>
      <c r="UDX17" s="14"/>
      <c r="UDY17" s="14"/>
      <c r="UDZ17" s="14"/>
      <c r="UEA17" s="14"/>
      <c r="UEB17" s="14"/>
      <c r="UEC17" s="14"/>
      <c r="UED17" s="14"/>
      <c r="UEE17" s="14"/>
      <c r="UEF17" s="14"/>
      <c r="UEG17" s="14"/>
      <c r="UEH17" s="14"/>
      <c r="UEI17" s="14"/>
      <c r="UEJ17" s="14"/>
      <c r="UEK17" s="14"/>
      <c r="UEL17" s="14"/>
      <c r="UEM17" s="14"/>
      <c r="UEN17" s="14"/>
      <c r="UEO17" s="14"/>
      <c r="UEP17" s="14"/>
      <c r="UEQ17" s="14"/>
      <c r="UER17" s="14"/>
      <c r="UES17" s="14"/>
      <c r="UET17" s="14"/>
      <c r="UEU17" s="14"/>
      <c r="UEV17" s="14"/>
      <c r="UEW17" s="14"/>
      <c r="UEX17" s="14"/>
      <c r="UEY17" s="14"/>
      <c r="UEZ17" s="14"/>
      <c r="UFA17" s="14"/>
      <c r="UFB17" s="14"/>
      <c r="UFC17" s="14"/>
      <c r="UFD17" s="14"/>
      <c r="UFE17" s="14"/>
      <c r="UFF17" s="14"/>
      <c r="UFG17" s="14"/>
      <c r="UFH17" s="14"/>
      <c r="UFI17" s="14"/>
      <c r="UFJ17" s="14"/>
      <c r="UFK17" s="14"/>
      <c r="UFL17" s="14"/>
      <c r="UFM17" s="14"/>
      <c r="UFN17" s="14"/>
      <c r="UFO17" s="14"/>
      <c r="UFP17" s="14"/>
      <c r="UFQ17" s="14"/>
      <c r="UFR17" s="14"/>
      <c r="UFS17" s="14"/>
      <c r="UFT17" s="14"/>
      <c r="UFU17" s="14"/>
      <c r="UFV17" s="14"/>
      <c r="UFW17" s="14"/>
      <c r="UFX17" s="14"/>
      <c r="UFY17" s="14"/>
      <c r="UFZ17" s="14"/>
      <c r="UGA17" s="14"/>
      <c r="UGB17" s="14"/>
      <c r="UGC17" s="14"/>
      <c r="UGD17" s="14"/>
      <c r="UGE17" s="14"/>
      <c r="UGF17" s="14"/>
      <c r="UGG17" s="14"/>
      <c r="UGH17" s="14"/>
      <c r="UGI17" s="14"/>
      <c r="UGJ17" s="14"/>
      <c r="UGK17" s="14"/>
      <c r="UGL17" s="14"/>
      <c r="UGM17" s="14"/>
      <c r="UGN17" s="14"/>
      <c r="UGO17" s="14"/>
      <c r="UGP17" s="14"/>
      <c r="UGQ17" s="14"/>
      <c r="UGR17" s="14"/>
      <c r="UGS17" s="14"/>
      <c r="UGT17" s="14"/>
      <c r="UGU17" s="14"/>
      <c r="UGV17" s="14"/>
      <c r="UGW17" s="14"/>
      <c r="UGX17" s="14"/>
      <c r="UGY17" s="14"/>
      <c r="UGZ17" s="14"/>
      <c r="UHA17" s="14"/>
      <c r="UHB17" s="14"/>
      <c r="UHC17" s="14"/>
      <c r="UHD17" s="14"/>
      <c r="UHE17" s="14"/>
      <c r="UHF17" s="14"/>
      <c r="UHG17" s="14"/>
      <c r="UHH17" s="14"/>
      <c r="UHI17" s="14"/>
      <c r="UHJ17" s="14"/>
      <c r="UHK17" s="14"/>
      <c r="UHL17" s="14"/>
      <c r="UHM17" s="14"/>
      <c r="UHN17" s="14"/>
      <c r="UHO17" s="14"/>
      <c r="UHP17" s="14"/>
      <c r="UHQ17" s="14"/>
      <c r="UHR17" s="14"/>
      <c r="UHS17" s="14"/>
      <c r="UHT17" s="14"/>
      <c r="UHU17" s="14"/>
      <c r="UHV17" s="14"/>
      <c r="UHW17" s="14"/>
      <c r="UHX17" s="14"/>
      <c r="UHY17" s="14"/>
      <c r="UHZ17" s="14"/>
      <c r="UIA17" s="14"/>
      <c r="UIB17" s="14"/>
      <c r="UIC17" s="14"/>
      <c r="UID17" s="14"/>
      <c r="UIE17" s="14"/>
      <c r="UIF17" s="14"/>
      <c r="UIG17" s="14"/>
      <c r="UIH17" s="14"/>
      <c r="UII17" s="14"/>
      <c r="UIJ17" s="14"/>
      <c r="UIK17" s="14"/>
      <c r="UIL17" s="14"/>
      <c r="UIM17" s="14"/>
      <c r="UIN17" s="14"/>
      <c r="UIO17" s="14"/>
      <c r="UIP17" s="14"/>
      <c r="UIQ17" s="14"/>
      <c r="UIR17" s="14"/>
      <c r="UIS17" s="14"/>
      <c r="UIT17" s="14"/>
      <c r="UIU17" s="14"/>
      <c r="UIV17" s="14"/>
      <c r="UIW17" s="14"/>
      <c r="UIX17" s="14"/>
      <c r="UIY17" s="14"/>
      <c r="UIZ17" s="14"/>
      <c r="UJA17" s="14"/>
      <c r="UJB17" s="14"/>
      <c r="UJC17" s="14"/>
      <c r="UJD17" s="14"/>
      <c r="UJE17" s="14"/>
      <c r="UJF17" s="14"/>
      <c r="UJG17" s="14"/>
      <c r="UJH17" s="14"/>
      <c r="UJI17" s="14"/>
      <c r="UJJ17" s="14"/>
      <c r="UJK17" s="14"/>
      <c r="UJL17" s="14"/>
      <c r="UJM17" s="14"/>
      <c r="UJN17" s="14"/>
      <c r="UJO17" s="14"/>
      <c r="UJP17" s="14"/>
      <c r="UJQ17" s="14"/>
      <c r="UJR17" s="14"/>
      <c r="UJS17" s="14"/>
      <c r="UJT17" s="14"/>
      <c r="UJU17" s="14"/>
      <c r="UJV17" s="14"/>
      <c r="UJW17" s="14"/>
      <c r="UJX17" s="14"/>
      <c r="UJY17" s="14"/>
      <c r="UJZ17" s="14"/>
      <c r="UKA17" s="14"/>
      <c r="UKB17" s="14"/>
      <c r="UKC17" s="14"/>
      <c r="UKD17" s="14"/>
      <c r="UKE17" s="14"/>
      <c r="UKF17" s="14"/>
      <c r="UKG17" s="14"/>
      <c r="UKH17" s="14"/>
      <c r="UKI17" s="14"/>
      <c r="UKJ17" s="14"/>
      <c r="UKK17" s="14"/>
      <c r="UKL17" s="14"/>
      <c r="UKM17" s="14"/>
      <c r="UKN17" s="14"/>
      <c r="UKO17" s="14"/>
      <c r="UKP17" s="14"/>
      <c r="UKQ17" s="14"/>
      <c r="UKR17" s="14"/>
      <c r="UKS17" s="14"/>
      <c r="UKT17" s="14"/>
      <c r="UKU17" s="14"/>
      <c r="UKV17" s="14"/>
      <c r="UKW17" s="14"/>
      <c r="UKX17" s="14"/>
      <c r="UKY17" s="14"/>
      <c r="UKZ17" s="14"/>
      <c r="ULA17" s="14"/>
      <c r="ULB17" s="14"/>
      <c r="ULC17" s="14"/>
      <c r="ULD17" s="14"/>
      <c r="ULE17" s="14"/>
      <c r="ULF17" s="14"/>
      <c r="ULG17" s="14"/>
      <c r="ULH17" s="14"/>
      <c r="ULI17" s="14"/>
      <c r="ULJ17" s="14"/>
      <c r="ULK17" s="14"/>
      <c r="ULL17" s="14"/>
      <c r="ULM17" s="14"/>
      <c r="ULN17" s="14"/>
      <c r="ULO17" s="14"/>
      <c r="ULP17" s="14"/>
      <c r="ULQ17" s="14"/>
      <c r="ULR17" s="14"/>
      <c r="ULS17" s="14"/>
      <c r="ULT17" s="14"/>
      <c r="ULU17" s="14"/>
      <c r="ULV17" s="14"/>
      <c r="ULW17" s="14"/>
      <c r="ULX17" s="14"/>
      <c r="ULY17" s="14"/>
      <c r="ULZ17" s="14"/>
      <c r="UMA17" s="14"/>
      <c r="UMB17" s="14"/>
      <c r="UMC17" s="14"/>
      <c r="UMD17" s="14"/>
      <c r="UME17" s="14"/>
      <c r="UMF17" s="14"/>
      <c r="UMG17" s="14"/>
      <c r="UMH17" s="14"/>
      <c r="UMI17" s="14"/>
      <c r="UMJ17" s="14"/>
      <c r="UMK17" s="14"/>
      <c r="UML17" s="14"/>
      <c r="UMM17" s="14"/>
      <c r="UMN17" s="14"/>
      <c r="UMO17" s="14"/>
      <c r="UMP17" s="14"/>
      <c r="UMQ17" s="14"/>
      <c r="UMR17" s="14"/>
      <c r="UMS17" s="14"/>
      <c r="UMT17" s="14"/>
      <c r="UMU17" s="14"/>
      <c r="UMV17" s="14"/>
      <c r="UMW17" s="14"/>
      <c r="UMX17" s="14"/>
      <c r="UMY17" s="14"/>
      <c r="UMZ17" s="14"/>
      <c r="UNA17" s="14"/>
      <c r="UNB17" s="14"/>
      <c r="UNC17" s="14"/>
      <c r="UND17" s="14"/>
      <c r="UNE17" s="14"/>
      <c r="UNF17" s="14"/>
      <c r="UNG17" s="14"/>
      <c r="UNH17" s="14"/>
      <c r="UNI17" s="14"/>
      <c r="UNJ17" s="14"/>
      <c r="UNK17" s="14"/>
      <c r="UNL17" s="14"/>
      <c r="UNM17" s="14"/>
      <c r="UNN17" s="14"/>
      <c r="UNO17" s="14"/>
      <c r="UNP17" s="14"/>
      <c r="UNQ17" s="14"/>
      <c r="UNR17" s="14"/>
      <c r="UNS17" s="14"/>
      <c r="UNT17" s="14"/>
      <c r="UNU17" s="14"/>
      <c r="UNV17" s="14"/>
      <c r="UNW17" s="14"/>
      <c r="UNX17" s="14"/>
      <c r="UNY17" s="14"/>
      <c r="UNZ17" s="14"/>
      <c r="UOA17" s="14"/>
      <c r="UOB17" s="14"/>
      <c r="UOC17" s="14"/>
      <c r="UOD17" s="14"/>
      <c r="UOE17" s="14"/>
      <c r="UOF17" s="14"/>
      <c r="UOG17" s="14"/>
      <c r="UOH17" s="14"/>
      <c r="UOI17" s="14"/>
      <c r="UOJ17" s="14"/>
      <c r="UOK17" s="14"/>
      <c r="UOL17" s="14"/>
      <c r="UOM17" s="14"/>
      <c r="UON17" s="14"/>
      <c r="UOO17" s="14"/>
      <c r="UOP17" s="14"/>
      <c r="UOQ17" s="14"/>
      <c r="UOR17" s="14"/>
      <c r="UOS17" s="14"/>
      <c r="UOT17" s="14"/>
      <c r="UOU17" s="14"/>
      <c r="UOV17" s="14"/>
      <c r="UOW17" s="14"/>
      <c r="UOX17" s="14"/>
      <c r="UOY17" s="14"/>
      <c r="UOZ17" s="14"/>
      <c r="UPA17" s="14"/>
      <c r="UPB17" s="14"/>
      <c r="UPC17" s="14"/>
      <c r="UPD17" s="14"/>
      <c r="UPE17" s="14"/>
      <c r="UPF17" s="14"/>
      <c r="UPG17" s="14"/>
      <c r="UPH17" s="14"/>
      <c r="UPI17" s="14"/>
      <c r="UPJ17" s="14"/>
      <c r="UPK17" s="14"/>
      <c r="UPL17" s="14"/>
      <c r="UPM17" s="14"/>
      <c r="UPN17" s="14"/>
      <c r="UPO17" s="14"/>
      <c r="UPP17" s="14"/>
      <c r="UPQ17" s="14"/>
      <c r="UPR17" s="14"/>
      <c r="UPS17" s="14"/>
      <c r="UPT17" s="14"/>
      <c r="UPU17" s="14"/>
      <c r="UPV17" s="14"/>
      <c r="UPW17" s="14"/>
      <c r="UPX17" s="14"/>
      <c r="UPY17" s="14"/>
      <c r="UPZ17" s="14"/>
      <c r="UQA17" s="14"/>
      <c r="UQB17" s="14"/>
      <c r="UQC17" s="14"/>
      <c r="UQD17" s="14"/>
      <c r="UQE17" s="14"/>
      <c r="UQF17" s="14"/>
      <c r="UQG17" s="14"/>
      <c r="UQH17" s="14"/>
      <c r="UQI17" s="14"/>
      <c r="UQJ17" s="14"/>
      <c r="UQK17" s="14"/>
      <c r="UQL17" s="14"/>
      <c r="UQM17" s="14"/>
      <c r="UQN17" s="14"/>
      <c r="UQO17" s="14"/>
      <c r="UQP17" s="14"/>
      <c r="UQQ17" s="14"/>
      <c r="UQR17" s="14"/>
      <c r="UQS17" s="14"/>
      <c r="UQT17" s="14"/>
      <c r="UQU17" s="14"/>
      <c r="UQV17" s="14"/>
      <c r="UQW17" s="14"/>
      <c r="UQX17" s="14"/>
      <c r="UQY17" s="14"/>
      <c r="UQZ17" s="14"/>
      <c r="URA17" s="14"/>
      <c r="URB17" s="14"/>
      <c r="URC17" s="14"/>
      <c r="URD17" s="14"/>
      <c r="URE17" s="14"/>
      <c r="URF17" s="14"/>
      <c r="URG17" s="14"/>
      <c r="URH17" s="14"/>
      <c r="URI17" s="14"/>
      <c r="URJ17" s="14"/>
      <c r="URK17" s="14"/>
      <c r="URL17" s="14"/>
      <c r="URM17" s="14"/>
      <c r="URN17" s="14"/>
      <c r="URO17" s="14"/>
      <c r="URP17" s="14"/>
      <c r="URQ17" s="14"/>
      <c r="URR17" s="14"/>
      <c r="URS17" s="14"/>
      <c r="URT17" s="14"/>
      <c r="URU17" s="14"/>
      <c r="URV17" s="14"/>
      <c r="URW17" s="14"/>
      <c r="URX17" s="14"/>
      <c r="URY17" s="14"/>
      <c r="URZ17" s="14"/>
      <c r="USA17" s="14"/>
      <c r="USB17" s="14"/>
      <c r="USC17" s="14"/>
      <c r="USD17" s="14"/>
      <c r="USE17" s="14"/>
      <c r="USF17" s="14"/>
      <c r="USG17" s="14"/>
      <c r="USH17" s="14"/>
      <c r="USI17" s="14"/>
      <c r="USJ17" s="14"/>
      <c r="USK17" s="14"/>
      <c r="USL17" s="14"/>
      <c r="USM17" s="14"/>
      <c r="USN17" s="14"/>
      <c r="USO17" s="14"/>
      <c r="USP17" s="14"/>
      <c r="USQ17" s="14"/>
      <c r="USR17" s="14"/>
      <c r="USS17" s="14"/>
      <c r="UST17" s="14"/>
      <c r="USU17" s="14"/>
      <c r="USV17" s="14"/>
      <c r="USW17" s="14"/>
      <c r="USX17" s="14"/>
      <c r="USY17" s="14"/>
      <c r="USZ17" s="14"/>
      <c r="UTA17" s="14"/>
      <c r="UTB17" s="14"/>
      <c r="UTC17" s="14"/>
      <c r="UTD17" s="14"/>
      <c r="UTE17" s="14"/>
      <c r="UTF17" s="14"/>
      <c r="UTG17" s="14"/>
      <c r="UTH17" s="14"/>
      <c r="UTI17" s="14"/>
      <c r="UTJ17" s="14"/>
      <c r="UTK17" s="14"/>
      <c r="UTL17" s="14"/>
      <c r="UTM17" s="14"/>
      <c r="UTN17" s="14"/>
      <c r="UTO17" s="14"/>
      <c r="UTP17" s="14"/>
      <c r="UTQ17" s="14"/>
      <c r="UTR17" s="14"/>
      <c r="UTS17" s="14"/>
      <c r="UTT17" s="14"/>
      <c r="UTU17" s="14"/>
      <c r="UTV17" s="14"/>
      <c r="UTW17" s="14"/>
      <c r="UTX17" s="14"/>
      <c r="UTY17" s="14"/>
      <c r="UTZ17" s="14"/>
      <c r="UUA17" s="14"/>
      <c r="UUB17" s="14"/>
      <c r="UUC17" s="14"/>
      <c r="UUD17" s="14"/>
      <c r="UUE17" s="14"/>
      <c r="UUF17" s="14"/>
      <c r="UUG17" s="14"/>
      <c r="UUH17" s="14"/>
      <c r="UUI17" s="14"/>
      <c r="UUJ17" s="14"/>
      <c r="UUK17" s="14"/>
      <c r="UUL17" s="14"/>
      <c r="UUM17" s="14"/>
      <c r="UUN17" s="14"/>
      <c r="UUO17" s="14"/>
      <c r="UUP17" s="14"/>
      <c r="UUQ17" s="14"/>
      <c r="UUR17" s="14"/>
      <c r="UUS17" s="14"/>
      <c r="UUT17" s="14"/>
      <c r="UUU17" s="14"/>
      <c r="UUV17" s="14"/>
      <c r="UUW17" s="14"/>
      <c r="UUX17" s="14"/>
      <c r="UUY17" s="14"/>
      <c r="UUZ17" s="14"/>
      <c r="UVA17" s="14"/>
      <c r="UVB17" s="14"/>
      <c r="UVC17" s="14"/>
      <c r="UVD17" s="14"/>
      <c r="UVE17" s="14"/>
      <c r="UVF17" s="14"/>
      <c r="UVG17" s="14"/>
      <c r="UVH17" s="14"/>
      <c r="UVI17" s="14"/>
      <c r="UVJ17" s="14"/>
      <c r="UVK17" s="14"/>
      <c r="UVL17" s="14"/>
      <c r="UVM17" s="14"/>
      <c r="UVN17" s="14"/>
      <c r="UVO17" s="14"/>
      <c r="UVP17" s="14"/>
      <c r="UVQ17" s="14"/>
      <c r="UVR17" s="14"/>
      <c r="UVS17" s="14"/>
      <c r="UVT17" s="14"/>
      <c r="UVU17" s="14"/>
      <c r="UVV17" s="14"/>
      <c r="UVW17" s="14"/>
      <c r="UVX17" s="14"/>
      <c r="UVY17" s="14"/>
      <c r="UVZ17" s="14"/>
      <c r="UWA17" s="14"/>
      <c r="UWB17" s="14"/>
      <c r="UWC17" s="14"/>
      <c r="UWD17" s="14"/>
      <c r="UWE17" s="14"/>
      <c r="UWF17" s="14"/>
      <c r="UWG17" s="14"/>
      <c r="UWH17" s="14"/>
      <c r="UWI17" s="14"/>
      <c r="UWJ17" s="14"/>
      <c r="UWK17" s="14"/>
      <c r="UWL17" s="14"/>
      <c r="UWM17" s="14"/>
      <c r="UWN17" s="14"/>
      <c r="UWO17" s="14"/>
      <c r="UWP17" s="14"/>
      <c r="UWQ17" s="14"/>
      <c r="UWR17" s="14"/>
      <c r="UWS17" s="14"/>
      <c r="UWT17" s="14"/>
      <c r="UWU17" s="14"/>
      <c r="UWV17" s="14"/>
      <c r="UWW17" s="14"/>
      <c r="UWX17" s="14"/>
      <c r="UWY17" s="14"/>
      <c r="UWZ17" s="14"/>
      <c r="UXA17" s="14"/>
      <c r="UXB17" s="14"/>
      <c r="UXC17" s="14"/>
      <c r="UXD17" s="14"/>
      <c r="UXE17" s="14"/>
      <c r="UXF17" s="14"/>
      <c r="UXG17" s="14"/>
      <c r="UXH17" s="14"/>
      <c r="UXI17" s="14"/>
      <c r="UXJ17" s="14"/>
      <c r="UXK17" s="14"/>
      <c r="UXL17" s="14"/>
      <c r="UXM17" s="14"/>
      <c r="UXN17" s="14"/>
      <c r="UXO17" s="14"/>
      <c r="UXP17" s="14"/>
      <c r="UXQ17" s="14"/>
      <c r="UXR17" s="14"/>
      <c r="UXS17" s="14"/>
      <c r="UXT17" s="14"/>
      <c r="UXU17" s="14"/>
      <c r="UXV17" s="14"/>
      <c r="UXW17" s="14"/>
      <c r="UXX17" s="14"/>
      <c r="UXY17" s="14"/>
      <c r="UXZ17" s="14"/>
      <c r="UYA17" s="14"/>
      <c r="UYB17" s="14"/>
      <c r="UYC17" s="14"/>
      <c r="UYD17" s="14"/>
      <c r="UYE17" s="14"/>
      <c r="UYF17" s="14"/>
      <c r="UYG17" s="14"/>
      <c r="UYH17" s="14"/>
      <c r="UYI17" s="14"/>
      <c r="UYJ17" s="14"/>
      <c r="UYK17" s="14"/>
      <c r="UYL17" s="14"/>
      <c r="UYM17" s="14"/>
      <c r="UYN17" s="14"/>
      <c r="UYO17" s="14"/>
      <c r="UYP17" s="14"/>
      <c r="UYQ17" s="14"/>
      <c r="UYR17" s="14"/>
      <c r="UYS17" s="14"/>
      <c r="UYT17" s="14"/>
      <c r="UYU17" s="14"/>
      <c r="UYV17" s="14"/>
      <c r="UYW17" s="14"/>
      <c r="UYX17" s="14"/>
      <c r="UYY17" s="14"/>
      <c r="UYZ17" s="14"/>
      <c r="UZA17" s="14"/>
      <c r="UZB17" s="14"/>
      <c r="UZC17" s="14"/>
      <c r="UZD17" s="14"/>
      <c r="UZE17" s="14"/>
      <c r="UZF17" s="14"/>
      <c r="UZG17" s="14"/>
      <c r="UZH17" s="14"/>
      <c r="UZI17" s="14"/>
      <c r="UZJ17" s="14"/>
      <c r="UZK17" s="14"/>
      <c r="UZL17" s="14"/>
      <c r="UZM17" s="14"/>
      <c r="UZN17" s="14"/>
      <c r="UZO17" s="14"/>
      <c r="UZP17" s="14"/>
      <c r="UZQ17" s="14"/>
      <c r="UZR17" s="14"/>
      <c r="UZS17" s="14"/>
      <c r="UZT17" s="14"/>
      <c r="UZU17" s="14"/>
      <c r="UZV17" s="14"/>
      <c r="UZW17" s="14"/>
      <c r="UZX17" s="14"/>
      <c r="UZY17" s="14"/>
      <c r="UZZ17" s="14"/>
      <c r="VAA17" s="14"/>
      <c r="VAB17" s="14"/>
      <c r="VAC17" s="14"/>
      <c r="VAD17" s="14"/>
      <c r="VAE17" s="14"/>
      <c r="VAF17" s="14"/>
      <c r="VAG17" s="14"/>
      <c r="VAH17" s="14"/>
      <c r="VAI17" s="14"/>
      <c r="VAJ17" s="14"/>
      <c r="VAK17" s="14"/>
      <c r="VAL17" s="14"/>
      <c r="VAM17" s="14"/>
      <c r="VAN17" s="14"/>
      <c r="VAO17" s="14"/>
      <c r="VAP17" s="14"/>
      <c r="VAQ17" s="14"/>
      <c r="VAR17" s="14"/>
      <c r="VAS17" s="14"/>
      <c r="VAT17" s="14"/>
      <c r="VAU17" s="14"/>
      <c r="VAV17" s="14"/>
      <c r="VAW17" s="14"/>
      <c r="VAX17" s="14"/>
      <c r="VAY17" s="14"/>
      <c r="VAZ17" s="14"/>
      <c r="VBA17" s="14"/>
      <c r="VBB17" s="14"/>
      <c r="VBC17" s="14"/>
      <c r="VBD17" s="14"/>
      <c r="VBE17" s="14"/>
      <c r="VBF17" s="14"/>
      <c r="VBG17" s="14"/>
      <c r="VBH17" s="14"/>
      <c r="VBI17" s="14"/>
      <c r="VBJ17" s="14"/>
      <c r="VBK17" s="14"/>
      <c r="VBL17" s="14"/>
      <c r="VBM17" s="14"/>
      <c r="VBN17" s="14"/>
      <c r="VBO17" s="14"/>
      <c r="VBP17" s="14"/>
      <c r="VBQ17" s="14"/>
      <c r="VBR17" s="14"/>
      <c r="VBS17" s="14"/>
      <c r="VBT17" s="14"/>
      <c r="VBU17" s="14"/>
      <c r="VBV17" s="14"/>
      <c r="VBW17" s="14"/>
      <c r="VBX17" s="14"/>
      <c r="VBY17" s="14"/>
      <c r="VBZ17" s="14"/>
      <c r="VCA17" s="14"/>
      <c r="VCB17" s="14"/>
      <c r="VCC17" s="14"/>
      <c r="VCD17" s="14"/>
      <c r="VCE17" s="14"/>
      <c r="VCF17" s="14"/>
      <c r="VCG17" s="14"/>
      <c r="VCH17" s="14"/>
      <c r="VCI17" s="14"/>
      <c r="VCJ17" s="14"/>
      <c r="VCK17" s="14"/>
      <c r="VCL17" s="14"/>
      <c r="VCM17" s="14"/>
      <c r="VCN17" s="14"/>
      <c r="VCO17" s="14"/>
      <c r="VCP17" s="14"/>
      <c r="VCQ17" s="14"/>
      <c r="VCR17" s="14"/>
      <c r="VCS17" s="14"/>
      <c r="VCT17" s="14"/>
      <c r="VCU17" s="14"/>
      <c r="VCV17" s="14"/>
      <c r="VCW17" s="14"/>
      <c r="VCX17" s="14"/>
      <c r="VCY17" s="14"/>
      <c r="VCZ17" s="14"/>
      <c r="VDA17" s="14"/>
      <c r="VDB17" s="14"/>
      <c r="VDC17" s="14"/>
      <c r="VDD17" s="14"/>
      <c r="VDE17" s="14"/>
      <c r="VDF17" s="14"/>
      <c r="VDG17" s="14"/>
      <c r="VDH17" s="14"/>
      <c r="VDI17" s="14"/>
      <c r="VDJ17" s="14"/>
      <c r="VDK17" s="14"/>
      <c r="VDL17" s="14"/>
      <c r="VDM17" s="14"/>
      <c r="VDN17" s="14"/>
      <c r="VDO17" s="14"/>
      <c r="VDP17" s="14"/>
      <c r="VDQ17" s="14"/>
      <c r="VDR17" s="14"/>
      <c r="VDS17" s="14"/>
      <c r="VDT17" s="14"/>
      <c r="VDU17" s="14"/>
      <c r="VDV17" s="14"/>
      <c r="VDW17" s="14"/>
      <c r="VDX17" s="14"/>
      <c r="VDY17" s="14"/>
      <c r="VDZ17" s="14"/>
      <c r="VEA17" s="14"/>
      <c r="VEB17" s="14"/>
      <c r="VEC17" s="14"/>
      <c r="VED17" s="14"/>
      <c r="VEE17" s="14"/>
      <c r="VEF17" s="14"/>
      <c r="VEG17" s="14"/>
      <c r="VEH17" s="14"/>
      <c r="VEI17" s="14"/>
      <c r="VEJ17" s="14"/>
      <c r="VEK17" s="14"/>
      <c r="VEL17" s="14"/>
      <c r="VEM17" s="14"/>
      <c r="VEN17" s="14"/>
      <c r="VEO17" s="14"/>
      <c r="VEP17" s="14"/>
      <c r="VEQ17" s="14"/>
      <c r="VER17" s="14"/>
      <c r="VES17" s="14"/>
      <c r="VET17" s="14"/>
      <c r="VEU17" s="14"/>
      <c r="VEV17" s="14"/>
      <c r="VEW17" s="14"/>
      <c r="VEX17" s="14"/>
      <c r="VEY17" s="14"/>
      <c r="VEZ17" s="14"/>
      <c r="VFA17" s="14"/>
      <c r="VFB17" s="14"/>
      <c r="VFC17" s="14"/>
      <c r="VFD17" s="14"/>
      <c r="VFE17" s="14"/>
      <c r="VFF17" s="14"/>
      <c r="VFG17" s="14"/>
      <c r="VFH17" s="14"/>
      <c r="VFI17" s="14"/>
      <c r="VFJ17" s="14"/>
      <c r="VFK17" s="14"/>
      <c r="VFL17" s="14"/>
      <c r="VFM17" s="14"/>
      <c r="VFN17" s="14"/>
      <c r="VFO17" s="14"/>
      <c r="VFP17" s="14"/>
      <c r="VFQ17" s="14"/>
      <c r="VFR17" s="14"/>
      <c r="VFS17" s="14"/>
      <c r="VFT17" s="14"/>
      <c r="VFU17" s="14"/>
      <c r="VFV17" s="14"/>
      <c r="VFW17" s="14"/>
      <c r="VFX17" s="14"/>
      <c r="VFY17" s="14"/>
      <c r="VFZ17" s="14"/>
      <c r="VGA17" s="14"/>
      <c r="VGB17" s="14"/>
      <c r="VGC17" s="14"/>
      <c r="VGD17" s="14"/>
      <c r="VGE17" s="14"/>
      <c r="VGF17" s="14"/>
      <c r="VGG17" s="14"/>
      <c r="VGH17" s="14"/>
      <c r="VGI17" s="14"/>
      <c r="VGJ17" s="14"/>
      <c r="VGK17" s="14"/>
      <c r="VGL17" s="14"/>
      <c r="VGM17" s="14"/>
      <c r="VGN17" s="14"/>
      <c r="VGO17" s="14"/>
      <c r="VGP17" s="14"/>
      <c r="VGQ17" s="14"/>
      <c r="VGR17" s="14"/>
      <c r="VGS17" s="14"/>
      <c r="VGT17" s="14"/>
      <c r="VGU17" s="14"/>
      <c r="VGV17" s="14"/>
      <c r="VGW17" s="14"/>
      <c r="VGX17" s="14"/>
      <c r="VGY17" s="14"/>
      <c r="VGZ17" s="14"/>
      <c r="VHA17" s="14"/>
      <c r="VHB17" s="14"/>
      <c r="VHC17" s="14"/>
      <c r="VHD17" s="14"/>
      <c r="VHE17" s="14"/>
      <c r="VHF17" s="14"/>
      <c r="VHG17" s="14"/>
      <c r="VHH17" s="14"/>
      <c r="VHI17" s="14"/>
      <c r="VHJ17" s="14"/>
      <c r="VHK17" s="14"/>
      <c r="VHL17" s="14"/>
      <c r="VHM17" s="14"/>
      <c r="VHN17" s="14"/>
      <c r="VHO17" s="14"/>
      <c r="VHP17" s="14"/>
      <c r="VHQ17" s="14"/>
      <c r="VHR17" s="14"/>
      <c r="VHS17" s="14"/>
      <c r="VHT17" s="14"/>
      <c r="VHU17" s="14"/>
      <c r="VHV17" s="14"/>
      <c r="VHW17" s="14"/>
      <c r="VHX17" s="14"/>
      <c r="VHY17" s="14"/>
      <c r="VHZ17" s="14"/>
      <c r="VIA17" s="14"/>
      <c r="VIB17" s="14"/>
      <c r="VIC17" s="14"/>
      <c r="VID17" s="14"/>
      <c r="VIE17" s="14"/>
      <c r="VIF17" s="14"/>
      <c r="VIG17" s="14"/>
      <c r="VIH17" s="14"/>
      <c r="VII17" s="14"/>
      <c r="VIJ17" s="14"/>
      <c r="VIK17" s="14"/>
      <c r="VIL17" s="14"/>
      <c r="VIM17" s="14"/>
      <c r="VIN17" s="14"/>
      <c r="VIO17" s="14"/>
      <c r="VIP17" s="14"/>
      <c r="VIQ17" s="14"/>
      <c r="VIR17" s="14"/>
      <c r="VIS17" s="14"/>
      <c r="VIT17" s="14"/>
      <c r="VIU17" s="14"/>
      <c r="VIV17" s="14"/>
      <c r="VIW17" s="14"/>
      <c r="VIX17" s="14"/>
      <c r="VIY17" s="14"/>
      <c r="VIZ17" s="14"/>
      <c r="VJA17" s="14"/>
      <c r="VJB17" s="14"/>
      <c r="VJC17" s="14"/>
      <c r="VJD17" s="14"/>
      <c r="VJE17" s="14"/>
      <c r="VJF17" s="14"/>
      <c r="VJG17" s="14"/>
      <c r="VJH17" s="14"/>
      <c r="VJI17" s="14"/>
      <c r="VJJ17" s="14"/>
      <c r="VJK17" s="14"/>
      <c r="VJL17" s="14"/>
      <c r="VJM17" s="14"/>
      <c r="VJN17" s="14"/>
      <c r="VJO17" s="14"/>
      <c r="VJP17" s="14"/>
      <c r="VJQ17" s="14"/>
      <c r="VJR17" s="14"/>
      <c r="VJS17" s="14"/>
      <c r="VJT17" s="14"/>
      <c r="VJU17" s="14"/>
      <c r="VJV17" s="14"/>
      <c r="VJW17" s="14"/>
      <c r="VJX17" s="14"/>
      <c r="VJY17" s="14"/>
      <c r="VJZ17" s="14"/>
      <c r="VKA17" s="14"/>
      <c r="VKB17" s="14"/>
      <c r="VKC17" s="14"/>
      <c r="VKD17" s="14"/>
      <c r="VKE17" s="14"/>
      <c r="VKF17" s="14"/>
      <c r="VKG17" s="14"/>
      <c r="VKH17" s="14"/>
      <c r="VKI17" s="14"/>
      <c r="VKJ17" s="14"/>
      <c r="VKK17" s="14"/>
      <c r="VKL17" s="14"/>
      <c r="VKM17" s="14"/>
      <c r="VKN17" s="14"/>
      <c r="VKO17" s="14"/>
      <c r="VKP17" s="14"/>
      <c r="VKQ17" s="14"/>
      <c r="VKR17" s="14"/>
      <c r="VKS17" s="14"/>
      <c r="VKT17" s="14"/>
      <c r="VKU17" s="14"/>
      <c r="VKV17" s="14"/>
      <c r="VKW17" s="14"/>
      <c r="VKX17" s="14"/>
      <c r="VKY17" s="14"/>
      <c r="VKZ17" s="14"/>
      <c r="VLA17" s="14"/>
      <c r="VLB17" s="14"/>
      <c r="VLC17" s="14"/>
      <c r="VLD17" s="14"/>
      <c r="VLE17" s="14"/>
      <c r="VLF17" s="14"/>
      <c r="VLG17" s="14"/>
      <c r="VLH17" s="14"/>
      <c r="VLI17" s="14"/>
      <c r="VLJ17" s="14"/>
      <c r="VLK17" s="14"/>
      <c r="VLL17" s="14"/>
      <c r="VLM17" s="14"/>
      <c r="VLN17" s="14"/>
      <c r="VLO17" s="14"/>
      <c r="VLP17" s="14"/>
      <c r="VLQ17" s="14"/>
      <c r="VLR17" s="14"/>
      <c r="VLS17" s="14"/>
      <c r="VLT17" s="14"/>
      <c r="VLU17" s="14"/>
      <c r="VLV17" s="14"/>
      <c r="VLW17" s="14"/>
      <c r="VLX17" s="14"/>
      <c r="VLY17" s="14"/>
      <c r="VLZ17" s="14"/>
      <c r="VMA17" s="14"/>
      <c r="VMB17" s="14"/>
      <c r="VMC17" s="14"/>
      <c r="VMD17" s="14"/>
      <c r="VME17" s="14"/>
      <c r="VMF17" s="14"/>
      <c r="VMG17" s="14"/>
      <c r="VMH17" s="14"/>
      <c r="VMI17" s="14"/>
      <c r="VMJ17" s="14"/>
      <c r="VMK17" s="14"/>
      <c r="VML17" s="14"/>
      <c r="VMM17" s="14"/>
      <c r="VMN17" s="14"/>
      <c r="VMO17" s="14"/>
      <c r="VMP17" s="14"/>
      <c r="VMQ17" s="14"/>
      <c r="VMR17" s="14"/>
      <c r="VMS17" s="14"/>
      <c r="VMT17" s="14"/>
      <c r="VMU17" s="14"/>
      <c r="VMV17" s="14"/>
      <c r="VMW17" s="14"/>
      <c r="VMX17" s="14"/>
      <c r="VMY17" s="14"/>
      <c r="VMZ17" s="14"/>
      <c r="VNA17" s="14"/>
      <c r="VNB17" s="14"/>
      <c r="VNC17" s="14"/>
      <c r="VND17" s="14"/>
      <c r="VNE17" s="14"/>
      <c r="VNF17" s="14"/>
      <c r="VNG17" s="14"/>
      <c r="VNH17" s="14"/>
      <c r="VNI17" s="14"/>
      <c r="VNJ17" s="14"/>
      <c r="VNK17" s="14"/>
      <c r="VNL17" s="14"/>
      <c r="VNM17" s="14"/>
      <c r="VNN17" s="14"/>
      <c r="VNO17" s="14"/>
      <c r="VNP17" s="14"/>
      <c r="VNQ17" s="14"/>
      <c r="VNR17" s="14"/>
      <c r="VNS17" s="14"/>
      <c r="VNT17" s="14"/>
      <c r="VNU17" s="14"/>
      <c r="VNV17" s="14"/>
      <c r="VNW17" s="14"/>
      <c r="VNX17" s="14"/>
      <c r="VNY17" s="14"/>
      <c r="VNZ17" s="14"/>
      <c r="VOA17" s="14"/>
      <c r="VOB17" s="14"/>
      <c r="VOC17" s="14"/>
      <c r="VOD17" s="14"/>
      <c r="VOE17" s="14"/>
      <c r="VOF17" s="14"/>
      <c r="VOG17" s="14"/>
      <c r="VOH17" s="14"/>
      <c r="VOI17" s="14"/>
      <c r="VOJ17" s="14"/>
      <c r="VOK17" s="14"/>
      <c r="VOL17" s="14"/>
      <c r="VOM17" s="14"/>
      <c r="VON17" s="14"/>
      <c r="VOO17" s="14"/>
      <c r="VOP17" s="14"/>
      <c r="VOQ17" s="14"/>
      <c r="VOR17" s="14"/>
      <c r="VOS17" s="14"/>
      <c r="VOT17" s="14"/>
      <c r="VOU17" s="14"/>
      <c r="VOV17" s="14"/>
      <c r="VOW17" s="14"/>
      <c r="VOX17" s="14"/>
      <c r="VOY17" s="14"/>
      <c r="VOZ17" s="14"/>
      <c r="VPA17" s="14"/>
      <c r="VPB17" s="14"/>
      <c r="VPC17" s="14"/>
      <c r="VPD17" s="14"/>
      <c r="VPE17" s="14"/>
      <c r="VPF17" s="14"/>
      <c r="VPG17" s="14"/>
      <c r="VPH17" s="14"/>
      <c r="VPI17" s="14"/>
      <c r="VPJ17" s="14"/>
      <c r="VPK17" s="14"/>
      <c r="VPL17" s="14"/>
      <c r="VPM17" s="14"/>
      <c r="VPN17" s="14"/>
      <c r="VPO17" s="14"/>
      <c r="VPP17" s="14"/>
      <c r="VPQ17" s="14"/>
      <c r="VPR17" s="14"/>
      <c r="VPS17" s="14"/>
      <c r="VPT17" s="14"/>
      <c r="VPU17" s="14"/>
      <c r="VPV17" s="14"/>
      <c r="VPW17" s="14"/>
      <c r="VPX17" s="14"/>
      <c r="VPY17" s="14"/>
      <c r="VPZ17" s="14"/>
      <c r="VQA17" s="14"/>
      <c r="VQB17" s="14"/>
      <c r="VQC17" s="14"/>
      <c r="VQD17" s="14"/>
      <c r="VQE17" s="14"/>
      <c r="VQF17" s="14"/>
      <c r="VQG17" s="14"/>
      <c r="VQH17" s="14"/>
      <c r="VQI17" s="14"/>
      <c r="VQJ17" s="14"/>
      <c r="VQK17" s="14"/>
      <c r="VQL17" s="14"/>
      <c r="VQM17" s="14"/>
      <c r="VQN17" s="14"/>
      <c r="VQO17" s="14"/>
      <c r="VQP17" s="14"/>
      <c r="VQQ17" s="14"/>
      <c r="VQR17" s="14"/>
      <c r="VQS17" s="14"/>
      <c r="VQT17" s="14"/>
      <c r="VQU17" s="14"/>
      <c r="VQV17" s="14"/>
      <c r="VQW17" s="14"/>
      <c r="VQX17" s="14"/>
      <c r="VQY17" s="14"/>
      <c r="VQZ17" s="14"/>
      <c r="VRA17" s="14"/>
      <c r="VRB17" s="14"/>
      <c r="VRC17" s="14"/>
      <c r="VRD17" s="14"/>
      <c r="VRE17" s="14"/>
      <c r="VRF17" s="14"/>
      <c r="VRG17" s="14"/>
      <c r="VRH17" s="14"/>
      <c r="VRI17" s="14"/>
      <c r="VRJ17" s="14"/>
      <c r="VRK17" s="14"/>
      <c r="VRL17" s="14"/>
      <c r="VRM17" s="14"/>
      <c r="VRN17" s="14"/>
      <c r="VRO17" s="14"/>
      <c r="VRP17" s="14"/>
      <c r="VRQ17" s="14"/>
      <c r="VRR17" s="14"/>
      <c r="VRS17" s="14"/>
      <c r="VRT17" s="14"/>
      <c r="VRU17" s="14"/>
      <c r="VRV17" s="14"/>
      <c r="VRW17" s="14"/>
      <c r="VRX17" s="14"/>
      <c r="VRY17" s="14"/>
      <c r="VRZ17" s="14"/>
      <c r="VSA17" s="14"/>
      <c r="VSB17" s="14"/>
      <c r="VSC17" s="14"/>
      <c r="VSD17" s="14"/>
      <c r="VSE17" s="14"/>
      <c r="VSF17" s="14"/>
      <c r="VSG17" s="14"/>
      <c r="VSH17" s="14"/>
      <c r="VSI17" s="14"/>
      <c r="VSJ17" s="14"/>
      <c r="VSK17" s="14"/>
      <c r="VSL17" s="14"/>
      <c r="VSM17" s="14"/>
      <c r="VSN17" s="14"/>
      <c r="VSO17" s="14"/>
      <c r="VSP17" s="14"/>
      <c r="VSQ17" s="14"/>
      <c r="VSR17" s="14"/>
      <c r="VSS17" s="14"/>
      <c r="VST17" s="14"/>
      <c r="VSU17" s="14"/>
      <c r="VSV17" s="14"/>
      <c r="VSW17" s="14"/>
      <c r="VSX17" s="14"/>
      <c r="VSY17" s="14"/>
      <c r="VSZ17" s="14"/>
      <c r="VTA17" s="14"/>
      <c r="VTB17" s="14"/>
      <c r="VTC17" s="14"/>
      <c r="VTD17" s="14"/>
      <c r="VTE17" s="14"/>
      <c r="VTF17" s="14"/>
      <c r="VTG17" s="14"/>
      <c r="VTH17" s="14"/>
      <c r="VTI17" s="14"/>
      <c r="VTJ17" s="14"/>
      <c r="VTK17" s="14"/>
      <c r="VTL17" s="14"/>
      <c r="VTM17" s="14"/>
      <c r="VTN17" s="14"/>
      <c r="VTO17" s="14"/>
      <c r="VTP17" s="14"/>
      <c r="VTQ17" s="14"/>
      <c r="VTR17" s="14"/>
      <c r="VTS17" s="14"/>
      <c r="VTT17" s="14"/>
      <c r="VTU17" s="14"/>
      <c r="VTV17" s="14"/>
      <c r="VTW17" s="14"/>
      <c r="VTX17" s="14"/>
      <c r="VTY17" s="14"/>
      <c r="VTZ17" s="14"/>
      <c r="VUA17" s="14"/>
      <c r="VUB17" s="14"/>
      <c r="VUC17" s="14"/>
      <c r="VUD17" s="14"/>
      <c r="VUE17" s="14"/>
      <c r="VUF17" s="14"/>
      <c r="VUG17" s="14"/>
      <c r="VUH17" s="14"/>
      <c r="VUI17" s="14"/>
      <c r="VUJ17" s="14"/>
      <c r="VUK17" s="14"/>
      <c r="VUL17" s="14"/>
      <c r="VUM17" s="14"/>
      <c r="VUN17" s="14"/>
      <c r="VUO17" s="14"/>
      <c r="VUP17" s="14"/>
      <c r="VUQ17" s="14"/>
      <c r="VUR17" s="14"/>
      <c r="VUS17" s="14"/>
      <c r="VUT17" s="14"/>
      <c r="VUU17" s="14"/>
      <c r="VUV17" s="14"/>
      <c r="VUW17" s="14"/>
      <c r="VUX17" s="14"/>
      <c r="VUY17" s="14"/>
      <c r="VUZ17" s="14"/>
      <c r="VVA17" s="14"/>
      <c r="VVB17" s="14"/>
      <c r="VVC17" s="14"/>
      <c r="VVD17" s="14"/>
      <c r="VVE17" s="14"/>
      <c r="VVF17" s="14"/>
      <c r="VVG17" s="14"/>
      <c r="VVH17" s="14"/>
      <c r="VVI17" s="14"/>
      <c r="VVJ17" s="14"/>
      <c r="VVK17" s="14"/>
      <c r="VVL17" s="14"/>
      <c r="VVM17" s="14"/>
      <c r="VVN17" s="14"/>
      <c r="VVO17" s="14"/>
      <c r="VVP17" s="14"/>
      <c r="VVQ17" s="14"/>
      <c r="VVR17" s="14"/>
      <c r="VVS17" s="14"/>
      <c r="VVT17" s="14"/>
      <c r="VVU17" s="14"/>
      <c r="VVV17" s="14"/>
      <c r="VVW17" s="14"/>
      <c r="VVX17" s="14"/>
      <c r="VVY17" s="14"/>
      <c r="VVZ17" s="14"/>
      <c r="VWA17" s="14"/>
      <c r="VWB17" s="14"/>
      <c r="VWC17" s="14"/>
      <c r="VWD17" s="14"/>
      <c r="VWE17" s="14"/>
      <c r="VWF17" s="14"/>
      <c r="VWG17" s="14"/>
      <c r="VWH17" s="14"/>
      <c r="VWI17" s="14"/>
      <c r="VWJ17" s="14"/>
      <c r="VWK17" s="14"/>
      <c r="VWL17" s="14"/>
      <c r="VWM17" s="14"/>
      <c r="VWN17" s="14"/>
      <c r="VWO17" s="14"/>
      <c r="VWP17" s="14"/>
      <c r="VWQ17" s="14"/>
      <c r="VWR17" s="14"/>
      <c r="VWS17" s="14"/>
      <c r="VWT17" s="14"/>
      <c r="VWU17" s="14"/>
      <c r="VWV17" s="14"/>
      <c r="VWW17" s="14"/>
      <c r="VWX17" s="14"/>
      <c r="VWY17" s="14"/>
      <c r="VWZ17" s="14"/>
      <c r="VXA17" s="14"/>
      <c r="VXB17" s="14"/>
      <c r="VXC17" s="14"/>
      <c r="VXD17" s="14"/>
      <c r="VXE17" s="14"/>
      <c r="VXF17" s="14"/>
      <c r="VXG17" s="14"/>
      <c r="VXH17" s="14"/>
      <c r="VXI17" s="14"/>
      <c r="VXJ17" s="14"/>
      <c r="VXK17" s="14"/>
      <c r="VXL17" s="14"/>
      <c r="VXM17" s="14"/>
      <c r="VXN17" s="14"/>
      <c r="VXO17" s="14"/>
      <c r="VXP17" s="14"/>
      <c r="VXQ17" s="14"/>
      <c r="VXR17" s="14"/>
      <c r="VXS17" s="14"/>
      <c r="VXT17" s="14"/>
      <c r="VXU17" s="14"/>
      <c r="VXV17" s="14"/>
      <c r="VXW17" s="14"/>
      <c r="VXX17" s="14"/>
      <c r="VXY17" s="14"/>
      <c r="VXZ17" s="14"/>
      <c r="VYA17" s="14"/>
      <c r="VYB17" s="14"/>
      <c r="VYC17" s="14"/>
      <c r="VYD17" s="14"/>
      <c r="VYE17" s="14"/>
      <c r="VYF17" s="14"/>
      <c r="VYG17" s="14"/>
      <c r="VYH17" s="14"/>
      <c r="VYI17" s="14"/>
      <c r="VYJ17" s="14"/>
      <c r="VYK17" s="14"/>
      <c r="VYL17" s="14"/>
      <c r="VYM17" s="14"/>
      <c r="VYN17" s="14"/>
      <c r="VYO17" s="14"/>
      <c r="VYP17" s="14"/>
      <c r="VYQ17" s="14"/>
      <c r="VYR17" s="14"/>
      <c r="VYS17" s="14"/>
      <c r="VYT17" s="14"/>
      <c r="VYU17" s="14"/>
      <c r="VYV17" s="14"/>
      <c r="VYW17" s="14"/>
      <c r="VYX17" s="14"/>
      <c r="VYY17" s="14"/>
      <c r="VYZ17" s="14"/>
      <c r="VZA17" s="14"/>
      <c r="VZB17" s="14"/>
      <c r="VZC17" s="14"/>
      <c r="VZD17" s="14"/>
      <c r="VZE17" s="14"/>
      <c r="VZF17" s="14"/>
      <c r="VZG17" s="14"/>
      <c r="VZH17" s="14"/>
      <c r="VZI17" s="14"/>
      <c r="VZJ17" s="14"/>
      <c r="VZK17" s="14"/>
      <c r="VZL17" s="14"/>
      <c r="VZM17" s="14"/>
      <c r="VZN17" s="14"/>
      <c r="VZO17" s="14"/>
      <c r="VZP17" s="14"/>
      <c r="VZQ17" s="14"/>
      <c r="VZR17" s="14"/>
      <c r="VZS17" s="14"/>
      <c r="VZT17" s="14"/>
      <c r="VZU17" s="14"/>
      <c r="VZV17" s="14"/>
      <c r="VZW17" s="14"/>
      <c r="VZX17" s="14"/>
      <c r="VZY17" s="14"/>
      <c r="VZZ17" s="14"/>
      <c r="WAA17" s="14"/>
      <c r="WAB17" s="14"/>
      <c r="WAC17" s="14"/>
      <c r="WAD17" s="14"/>
      <c r="WAE17" s="14"/>
      <c r="WAF17" s="14"/>
      <c r="WAG17" s="14"/>
      <c r="WAH17" s="14"/>
      <c r="WAI17" s="14"/>
      <c r="WAJ17" s="14"/>
      <c r="WAK17" s="14"/>
      <c r="WAL17" s="14"/>
      <c r="WAM17" s="14"/>
      <c r="WAN17" s="14"/>
      <c r="WAO17" s="14"/>
      <c r="WAP17" s="14"/>
      <c r="WAQ17" s="14"/>
      <c r="WAR17" s="14"/>
      <c r="WAS17" s="14"/>
      <c r="WAT17" s="14"/>
      <c r="WAU17" s="14"/>
      <c r="WAV17" s="14"/>
      <c r="WAW17" s="14"/>
      <c r="WAX17" s="14"/>
      <c r="WAY17" s="14"/>
      <c r="WAZ17" s="14"/>
      <c r="WBA17" s="14"/>
      <c r="WBB17" s="14"/>
      <c r="WBC17" s="14"/>
      <c r="WBD17" s="14"/>
      <c r="WBE17" s="14"/>
      <c r="WBF17" s="14"/>
      <c r="WBG17" s="14"/>
      <c r="WBH17" s="14"/>
      <c r="WBI17" s="14"/>
      <c r="WBJ17" s="14"/>
      <c r="WBK17" s="14"/>
      <c r="WBL17" s="14"/>
      <c r="WBM17" s="14"/>
      <c r="WBN17" s="14"/>
      <c r="WBO17" s="14"/>
      <c r="WBP17" s="14"/>
      <c r="WBQ17" s="14"/>
      <c r="WBR17" s="14"/>
      <c r="WBS17" s="14"/>
      <c r="WBT17" s="14"/>
      <c r="WBU17" s="14"/>
      <c r="WBV17" s="14"/>
      <c r="WBW17" s="14"/>
      <c r="WBX17" s="14"/>
      <c r="WBY17" s="14"/>
      <c r="WBZ17" s="14"/>
      <c r="WCA17" s="14"/>
      <c r="WCB17" s="14"/>
      <c r="WCC17" s="14"/>
      <c r="WCD17" s="14"/>
      <c r="WCE17" s="14"/>
      <c r="WCF17" s="14"/>
      <c r="WCG17" s="14"/>
      <c r="WCH17" s="14"/>
      <c r="WCI17" s="14"/>
      <c r="WCJ17" s="14"/>
      <c r="WCK17" s="14"/>
      <c r="WCL17" s="14"/>
      <c r="WCM17" s="14"/>
      <c r="WCN17" s="14"/>
      <c r="WCO17" s="14"/>
      <c r="WCP17" s="14"/>
      <c r="WCQ17" s="14"/>
      <c r="WCR17" s="14"/>
      <c r="WCS17" s="14"/>
      <c r="WCT17" s="14"/>
      <c r="WCU17" s="14"/>
      <c r="WCV17" s="14"/>
      <c r="WCW17" s="14"/>
      <c r="WCX17" s="14"/>
      <c r="WCY17" s="14"/>
      <c r="WCZ17" s="14"/>
      <c r="WDA17" s="14"/>
      <c r="WDB17" s="14"/>
      <c r="WDC17" s="14"/>
      <c r="WDD17" s="14"/>
      <c r="WDE17" s="14"/>
      <c r="WDF17" s="14"/>
      <c r="WDG17" s="14"/>
      <c r="WDH17" s="14"/>
      <c r="WDI17" s="14"/>
      <c r="WDJ17" s="14"/>
      <c r="WDK17" s="14"/>
      <c r="WDL17" s="14"/>
      <c r="WDM17" s="14"/>
      <c r="WDN17" s="14"/>
      <c r="WDO17" s="14"/>
      <c r="WDP17" s="14"/>
      <c r="WDQ17" s="14"/>
      <c r="WDR17" s="14"/>
      <c r="WDS17" s="14"/>
      <c r="WDT17" s="14"/>
      <c r="WDU17" s="14"/>
      <c r="WDV17" s="14"/>
      <c r="WDW17" s="14"/>
      <c r="WDX17" s="14"/>
      <c r="WDY17" s="14"/>
      <c r="WDZ17" s="14"/>
      <c r="WEA17" s="14"/>
      <c r="WEB17" s="14"/>
      <c r="WEC17" s="14"/>
      <c r="WED17" s="14"/>
      <c r="WEE17" s="14"/>
      <c r="WEF17" s="14"/>
      <c r="WEG17" s="14"/>
      <c r="WEH17" s="14"/>
      <c r="WEI17" s="14"/>
      <c r="WEJ17" s="14"/>
      <c r="WEK17" s="14"/>
      <c r="WEL17" s="14"/>
      <c r="WEM17" s="14"/>
      <c r="WEN17" s="14"/>
      <c r="WEO17" s="14"/>
      <c r="WEP17" s="14"/>
      <c r="WEQ17" s="14"/>
      <c r="WER17" s="14"/>
      <c r="WES17" s="14"/>
      <c r="WET17" s="14"/>
      <c r="WEU17" s="14"/>
      <c r="WEV17" s="14"/>
      <c r="WEW17" s="14"/>
      <c r="WEX17" s="14"/>
      <c r="WEY17" s="14"/>
      <c r="WEZ17" s="14"/>
      <c r="WFA17" s="14"/>
      <c r="WFB17" s="14"/>
      <c r="WFC17" s="14"/>
      <c r="WFD17" s="14"/>
      <c r="WFE17" s="14"/>
      <c r="WFF17" s="14"/>
      <c r="WFG17" s="14"/>
      <c r="WFH17" s="14"/>
      <c r="WFI17" s="14"/>
      <c r="WFJ17" s="14"/>
      <c r="WFK17" s="14"/>
      <c r="WFL17" s="14"/>
      <c r="WFM17" s="14"/>
      <c r="WFN17" s="14"/>
      <c r="WFO17" s="14"/>
      <c r="WFP17" s="14"/>
      <c r="WFQ17" s="14"/>
      <c r="WFR17" s="14"/>
      <c r="WFS17" s="14"/>
      <c r="WFT17" s="14"/>
      <c r="WFU17" s="14"/>
      <c r="WFV17" s="14"/>
      <c r="WFW17" s="14"/>
      <c r="WFX17" s="14"/>
      <c r="WFY17" s="14"/>
      <c r="WFZ17" s="14"/>
      <c r="WGA17" s="14"/>
      <c r="WGB17" s="14"/>
      <c r="WGC17" s="14"/>
      <c r="WGD17" s="14"/>
      <c r="WGE17" s="14"/>
      <c r="WGF17" s="14"/>
      <c r="WGG17" s="14"/>
      <c r="WGH17" s="14"/>
      <c r="WGI17" s="14"/>
      <c r="WGJ17" s="14"/>
      <c r="WGK17" s="14"/>
      <c r="WGL17" s="14"/>
      <c r="WGM17" s="14"/>
      <c r="WGN17" s="14"/>
      <c r="WGO17" s="14"/>
      <c r="WGP17" s="14"/>
      <c r="WGQ17" s="14"/>
      <c r="WGR17" s="14"/>
      <c r="WGS17" s="14"/>
      <c r="WGT17" s="14"/>
      <c r="WGU17" s="14"/>
      <c r="WGV17" s="14"/>
      <c r="WGW17" s="14"/>
      <c r="WGX17" s="14"/>
      <c r="WGY17" s="14"/>
      <c r="WGZ17" s="14"/>
      <c r="WHA17" s="14"/>
      <c r="WHB17" s="14"/>
      <c r="WHC17" s="14"/>
      <c r="WHD17" s="14"/>
      <c r="WHE17" s="14"/>
      <c r="WHF17" s="14"/>
      <c r="WHG17" s="14"/>
      <c r="WHH17" s="14"/>
      <c r="WHI17" s="14"/>
      <c r="WHJ17" s="14"/>
      <c r="WHK17" s="14"/>
      <c r="WHL17" s="14"/>
      <c r="WHM17" s="14"/>
      <c r="WHN17" s="14"/>
      <c r="WHO17" s="14"/>
      <c r="WHP17" s="14"/>
      <c r="WHQ17" s="14"/>
      <c r="WHR17" s="14"/>
      <c r="WHS17" s="14"/>
      <c r="WHT17" s="14"/>
      <c r="WHU17" s="14"/>
      <c r="WHV17" s="14"/>
      <c r="WHW17" s="14"/>
      <c r="WHX17" s="14"/>
      <c r="WHY17" s="14"/>
      <c r="WHZ17" s="14"/>
      <c r="WIA17" s="14"/>
      <c r="WIB17" s="14"/>
      <c r="WIC17" s="14"/>
      <c r="WID17" s="14"/>
      <c r="WIE17" s="14"/>
      <c r="WIF17" s="14"/>
      <c r="WIG17" s="14"/>
      <c r="WIH17" s="14"/>
      <c r="WII17" s="14"/>
      <c r="WIJ17" s="14"/>
      <c r="WIK17" s="14"/>
      <c r="WIL17" s="14"/>
      <c r="WIM17" s="14"/>
      <c r="WIN17" s="14"/>
      <c r="WIO17" s="14"/>
      <c r="WIP17" s="14"/>
      <c r="WIQ17" s="14"/>
      <c r="WIR17" s="14"/>
      <c r="WIS17" s="14"/>
      <c r="WIT17" s="14"/>
      <c r="WIU17" s="14"/>
      <c r="WIV17" s="14"/>
      <c r="WIW17" s="14"/>
      <c r="WIX17" s="14"/>
      <c r="WIY17" s="14"/>
      <c r="WIZ17" s="14"/>
      <c r="WJA17" s="14"/>
      <c r="WJB17" s="14"/>
      <c r="WJC17" s="14"/>
      <c r="WJD17" s="14"/>
      <c r="WJE17" s="14"/>
      <c r="WJF17" s="14"/>
      <c r="WJG17" s="14"/>
      <c r="WJH17" s="14"/>
      <c r="WJI17" s="14"/>
      <c r="WJJ17" s="14"/>
      <c r="WJK17" s="14"/>
      <c r="WJL17" s="14"/>
      <c r="WJM17" s="14"/>
      <c r="WJN17" s="14"/>
      <c r="WJO17" s="14"/>
      <c r="WJP17" s="14"/>
      <c r="WJQ17" s="14"/>
      <c r="WJR17" s="14"/>
      <c r="WJS17" s="14"/>
      <c r="WJT17" s="14"/>
      <c r="WJU17" s="14"/>
      <c r="WJV17" s="14"/>
      <c r="WJW17" s="14"/>
      <c r="WJX17" s="14"/>
      <c r="WJY17" s="14"/>
      <c r="WJZ17" s="14"/>
      <c r="WKA17" s="14"/>
      <c r="WKB17" s="14"/>
      <c r="WKC17" s="14"/>
      <c r="WKD17" s="14"/>
      <c r="WKE17" s="14"/>
      <c r="WKF17" s="14"/>
      <c r="WKG17" s="14"/>
      <c r="WKH17" s="14"/>
      <c r="WKI17" s="14"/>
      <c r="WKJ17" s="14"/>
      <c r="WKK17" s="14"/>
      <c r="WKL17" s="14"/>
      <c r="WKM17" s="14"/>
      <c r="WKN17" s="14"/>
      <c r="WKO17" s="14"/>
      <c r="WKP17" s="14"/>
      <c r="WKQ17" s="14"/>
      <c r="WKR17" s="14"/>
      <c r="WKS17" s="14"/>
      <c r="WKT17" s="14"/>
      <c r="WKU17" s="14"/>
      <c r="WKV17" s="14"/>
      <c r="WKW17" s="14"/>
      <c r="WKX17" s="14"/>
      <c r="WKY17" s="14"/>
      <c r="WKZ17" s="14"/>
      <c r="WLA17" s="14"/>
      <c r="WLB17" s="14"/>
      <c r="WLC17" s="14"/>
      <c r="WLD17" s="14"/>
      <c r="WLE17" s="14"/>
      <c r="WLF17" s="14"/>
      <c r="WLG17" s="14"/>
      <c r="WLH17" s="14"/>
      <c r="WLI17" s="14"/>
      <c r="WLJ17" s="14"/>
      <c r="WLK17" s="14"/>
      <c r="WLL17" s="14"/>
      <c r="WLM17" s="14"/>
      <c r="WLN17" s="14"/>
      <c r="WLO17" s="14"/>
      <c r="WLP17" s="14"/>
      <c r="WLQ17" s="14"/>
      <c r="WLR17" s="14"/>
      <c r="WLS17" s="14"/>
      <c r="WLT17" s="14"/>
      <c r="WLU17" s="14"/>
      <c r="WLV17" s="14"/>
      <c r="WLW17" s="14"/>
      <c r="WLX17" s="14"/>
      <c r="WLY17" s="14"/>
      <c r="WLZ17" s="14"/>
      <c r="WMA17" s="14"/>
      <c r="WMB17" s="14"/>
      <c r="WMC17" s="14"/>
      <c r="WMD17" s="14"/>
      <c r="WME17" s="14"/>
      <c r="WMF17" s="14"/>
      <c r="WMG17" s="14"/>
      <c r="WMH17" s="14"/>
      <c r="WMI17" s="14"/>
      <c r="WMJ17" s="14"/>
      <c r="WMK17" s="14"/>
      <c r="WML17" s="14"/>
      <c r="WMM17" s="14"/>
      <c r="WMN17" s="14"/>
      <c r="WMO17" s="14"/>
      <c r="WMP17" s="14"/>
      <c r="WMQ17" s="14"/>
      <c r="WMR17" s="14"/>
      <c r="WMS17" s="14"/>
      <c r="WMT17" s="14"/>
      <c r="WMU17" s="14"/>
      <c r="WMV17" s="14"/>
      <c r="WMW17" s="14"/>
      <c r="WMX17" s="14"/>
      <c r="WMY17" s="14"/>
      <c r="WMZ17" s="14"/>
      <c r="WNA17" s="14"/>
      <c r="WNB17" s="14"/>
      <c r="WNC17" s="14"/>
      <c r="WND17" s="14"/>
      <c r="WNE17" s="14"/>
      <c r="WNF17" s="14"/>
      <c r="WNG17" s="14"/>
      <c r="WNH17" s="14"/>
      <c r="WNI17" s="14"/>
      <c r="WNJ17" s="14"/>
      <c r="WNK17" s="14"/>
      <c r="WNL17" s="14"/>
      <c r="WNM17" s="14"/>
      <c r="WNN17" s="14"/>
      <c r="WNO17" s="14"/>
      <c r="WNP17" s="14"/>
      <c r="WNQ17" s="14"/>
      <c r="WNR17" s="14"/>
      <c r="WNS17" s="14"/>
      <c r="WNT17" s="14"/>
      <c r="WNU17" s="14"/>
      <c r="WNV17" s="14"/>
      <c r="WNW17" s="14"/>
      <c r="WNX17" s="14"/>
      <c r="WNY17" s="14"/>
      <c r="WNZ17" s="14"/>
      <c r="WOA17" s="14"/>
      <c r="WOB17" s="14"/>
      <c r="WOC17" s="14"/>
      <c r="WOD17" s="14"/>
      <c r="WOE17" s="14"/>
      <c r="WOF17" s="14"/>
      <c r="WOG17" s="14"/>
      <c r="WOH17" s="14"/>
      <c r="WOI17" s="14"/>
      <c r="WOJ17" s="14"/>
      <c r="WOK17" s="14"/>
      <c r="WOL17" s="14"/>
      <c r="WOM17" s="14"/>
      <c r="WON17" s="14"/>
      <c r="WOO17" s="14"/>
      <c r="WOP17" s="14"/>
      <c r="WOQ17" s="14"/>
      <c r="WOR17" s="14"/>
      <c r="WOS17" s="14"/>
      <c r="WOT17" s="14"/>
      <c r="WOU17" s="14"/>
      <c r="WOV17" s="14"/>
      <c r="WOW17" s="14"/>
      <c r="WOX17" s="14"/>
      <c r="WOY17" s="14"/>
      <c r="WOZ17" s="14"/>
      <c r="WPA17" s="14"/>
      <c r="WPB17" s="14"/>
      <c r="WPC17" s="14"/>
      <c r="WPD17" s="14"/>
      <c r="WPE17" s="14"/>
      <c r="WPF17" s="14"/>
      <c r="WPG17" s="14"/>
      <c r="WPH17" s="14"/>
      <c r="WPI17" s="14"/>
      <c r="WPJ17" s="14"/>
      <c r="WPK17" s="14"/>
      <c r="WPL17" s="14"/>
      <c r="WPM17" s="14"/>
      <c r="WPN17" s="14"/>
      <c r="WPO17" s="14"/>
      <c r="WPP17" s="14"/>
      <c r="WPQ17" s="14"/>
      <c r="WPR17" s="14"/>
      <c r="WPS17" s="14"/>
      <c r="WPT17" s="14"/>
      <c r="WPU17" s="14"/>
      <c r="WPV17" s="14"/>
      <c r="WPW17" s="14"/>
      <c r="WPX17" s="14"/>
      <c r="WPY17" s="14"/>
      <c r="WPZ17" s="14"/>
      <c r="WQA17" s="14"/>
      <c r="WQB17" s="14"/>
      <c r="WQC17" s="14"/>
      <c r="WQD17" s="14"/>
      <c r="WQE17" s="14"/>
      <c r="WQF17" s="14"/>
      <c r="WQG17" s="14"/>
      <c r="WQH17" s="14"/>
      <c r="WQI17" s="14"/>
      <c r="WQJ17" s="14"/>
      <c r="WQK17" s="14"/>
      <c r="WQL17" s="14"/>
      <c r="WQM17" s="14"/>
      <c r="WQN17" s="14"/>
      <c r="WQO17" s="14"/>
      <c r="WQP17" s="14"/>
      <c r="WQQ17" s="14"/>
      <c r="WQR17" s="14"/>
      <c r="WQS17" s="14"/>
      <c r="WQT17" s="14"/>
      <c r="WQU17" s="14"/>
      <c r="WQV17" s="14"/>
      <c r="WQW17" s="14"/>
      <c r="WQX17" s="14"/>
      <c r="WQY17" s="14"/>
      <c r="WQZ17" s="14"/>
      <c r="WRA17" s="14"/>
      <c r="WRB17" s="14"/>
      <c r="WRC17" s="14"/>
      <c r="WRD17" s="14"/>
      <c r="WRE17" s="14"/>
      <c r="WRF17" s="14"/>
      <c r="WRG17" s="14"/>
      <c r="WRH17" s="14"/>
      <c r="WRI17" s="14"/>
      <c r="WRJ17" s="14"/>
      <c r="WRK17" s="14"/>
      <c r="WRL17" s="14"/>
      <c r="WRM17" s="14"/>
      <c r="WRN17" s="14"/>
      <c r="WRO17" s="14"/>
      <c r="WRP17" s="14"/>
      <c r="WRQ17" s="14"/>
      <c r="WRR17" s="14"/>
      <c r="WRS17" s="14"/>
      <c r="WRT17" s="14"/>
      <c r="WRU17" s="14"/>
      <c r="WRV17" s="14"/>
      <c r="WRW17" s="14"/>
      <c r="WRX17" s="14"/>
      <c r="WRY17" s="14"/>
      <c r="WRZ17" s="14"/>
      <c r="WSA17" s="14"/>
      <c r="WSB17" s="14"/>
      <c r="WSC17" s="14"/>
      <c r="WSD17" s="14"/>
      <c r="WSE17" s="14"/>
      <c r="WSF17" s="14"/>
      <c r="WSG17" s="14"/>
      <c r="WSH17" s="14"/>
      <c r="WSI17" s="14"/>
      <c r="WSJ17" s="14"/>
      <c r="WSK17" s="14"/>
      <c r="WSL17" s="14"/>
      <c r="WSM17" s="14"/>
      <c r="WSN17" s="14"/>
      <c r="WSO17" s="14"/>
      <c r="WSP17" s="14"/>
      <c r="WSQ17" s="14"/>
      <c r="WSR17" s="14"/>
      <c r="WSS17" s="14"/>
      <c r="WST17" s="14"/>
      <c r="WSU17" s="14"/>
      <c r="WSV17" s="14"/>
      <c r="WSW17" s="14"/>
      <c r="WSX17" s="14"/>
      <c r="WSY17" s="14"/>
      <c r="WSZ17" s="14"/>
      <c r="WTA17" s="14"/>
      <c r="WTB17" s="14"/>
      <c r="WTC17" s="14"/>
      <c r="WTD17" s="14"/>
      <c r="WTE17" s="14"/>
      <c r="WTF17" s="14"/>
      <c r="WTG17" s="14"/>
      <c r="WTH17" s="14"/>
      <c r="WTI17" s="14"/>
      <c r="WTJ17" s="14"/>
      <c r="WTK17" s="14"/>
      <c r="WTL17" s="14"/>
      <c r="WTM17" s="14"/>
      <c r="WTN17" s="14"/>
      <c r="WTO17" s="14"/>
      <c r="WTP17" s="14"/>
      <c r="WTQ17" s="14"/>
      <c r="WTR17" s="14"/>
      <c r="WTS17" s="14"/>
      <c r="WTT17" s="14"/>
      <c r="WTU17" s="14"/>
      <c r="WTV17" s="14"/>
      <c r="WTW17" s="14"/>
      <c r="WTX17" s="14"/>
      <c r="WTY17" s="14"/>
      <c r="WTZ17" s="14"/>
      <c r="WUA17" s="14"/>
      <c r="WUB17" s="14"/>
      <c r="WUC17" s="14"/>
      <c r="WUD17" s="14"/>
      <c r="WUE17" s="14"/>
      <c r="WUF17" s="14"/>
      <c r="WUG17" s="14"/>
      <c r="WUH17" s="14"/>
      <c r="WUI17" s="14"/>
      <c r="WUJ17" s="14"/>
      <c r="WUK17" s="14"/>
      <c r="WUL17" s="14"/>
      <c r="WUM17" s="14"/>
      <c r="WUN17" s="14"/>
      <c r="WUO17" s="14"/>
      <c r="WUP17" s="14"/>
      <c r="WUQ17" s="14"/>
      <c r="WUR17" s="14"/>
      <c r="WUS17" s="14"/>
      <c r="WUT17" s="14"/>
      <c r="WUU17" s="14"/>
      <c r="WUV17" s="14"/>
      <c r="WUW17" s="14"/>
      <c r="WUX17" s="14"/>
      <c r="WUY17" s="14"/>
      <c r="WUZ17" s="14"/>
      <c r="WVA17" s="14"/>
      <c r="WVB17" s="14"/>
      <c r="WVC17" s="14"/>
      <c r="WVD17" s="14"/>
      <c r="WVE17" s="14"/>
      <c r="WVF17" s="14"/>
      <c r="WVG17" s="14"/>
      <c r="WVH17" s="14"/>
      <c r="WVI17" s="14"/>
      <c r="WVJ17" s="14"/>
      <c r="WVK17" s="14"/>
      <c r="WVL17" s="14"/>
      <c r="WVM17" s="14"/>
      <c r="WVN17" s="14"/>
      <c r="WVO17" s="14"/>
      <c r="WVP17" s="14"/>
      <c r="WVQ17" s="14"/>
      <c r="WVR17" s="14"/>
      <c r="WVS17" s="14"/>
      <c r="WVT17" s="14"/>
      <c r="WVU17" s="14"/>
      <c r="WVV17" s="14"/>
      <c r="WVW17" s="14"/>
      <c r="WVX17" s="14"/>
      <c r="WVY17" s="14"/>
      <c r="WVZ17" s="14"/>
      <c r="WWA17" s="14"/>
      <c r="WWB17" s="14"/>
      <c r="WWC17" s="14"/>
      <c r="WWD17" s="14"/>
      <c r="WWE17" s="14"/>
      <c r="WWF17" s="14"/>
      <c r="WWG17" s="14"/>
      <c r="WWH17" s="14"/>
      <c r="WWI17" s="14"/>
      <c r="WWJ17" s="14"/>
      <c r="WWK17" s="14"/>
      <c r="WWL17" s="14"/>
      <c r="WWM17" s="14"/>
      <c r="WWN17" s="14"/>
      <c r="WWO17" s="14"/>
      <c r="WWP17" s="14"/>
      <c r="WWQ17" s="14"/>
      <c r="WWR17" s="14"/>
      <c r="WWS17" s="14"/>
      <c r="WWT17" s="14"/>
      <c r="WWU17" s="14"/>
      <c r="WWV17" s="14"/>
      <c r="WWW17" s="14"/>
      <c r="WWX17" s="14"/>
      <c r="WWY17" s="14"/>
      <c r="WWZ17" s="14"/>
      <c r="WXA17" s="14"/>
      <c r="WXB17" s="14"/>
      <c r="WXC17" s="14"/>
      <c r="WXD17" s="14"/>
      <c r="WXE17" s="14"/>
      <c r="WXF17" s="14"/>
      <c r="WXG17" s="14"/>
      <c r="WXH17" s="14"/>
      <c r="WXI17" s="14"/>
      <c r="WXJ17" s="14"/>
      <c r="WXK17" s="14"/>
      <c r="WXL17" s="14"/>
      <c r="WXM17" s="14"/>
      <c r="WXN17" s="14"/>
      <c r="WXO17" s="14"/>
      <c r="WXP17" s="14"/>
      <c r="WXQ17" s="14"/>
      <c r="WXR17" s="14"/>
      <c r="WXS17" s="14"/>
      <c r="WXT17" s="14"/>
      <c r="WXU17" s="14"/>
      <c r="WXV17" s="14"/>
      <c r="WXW17" s="14"/>
      <c r="WXX17" s="14"/>
      <c r="WXY17" s="14"/>
      <c r="WXZ17" s="14"/>
      <c r="WYA17" s="14"/>
      <c r="WYB17" s="14"/>
      <c r="WYC17" s="14"/>
      <c r="WYD17" s="14"/>
      <c r="WYE17" s="14"/>
      <c r="WYF17" s="14"/>
      <c r="WYG17" s="14"/>
      <c r="WYH17" s="14"/>
      <c r="WYI17" s="14"/>
      <c r="WYJ17" s="14"/>
      <c r="WYK17" s="14"/>
      <c r="WYL17" s="14"/>
      <c r="WYM17" s="14"/>
      <c r="WYN17" s="14"/>
      <c r="WYO17" s="14"/>
      <c r="WYP17" s="14"/>
      <c r="WYQ17" s="14"/>
      <c r="WYR17" s="14"/>
      <c r="WYS17" s="14"/>
      <c r="WYT17" s="14"/>
      <c r="WYU17" s="14"/>
      <c r="WYV17" s="14"/>
      <c r="WYW17" s="14"/>
      <c r="WYX17" s="14"/>
      <c r="WYY17" s="14"/>
      <c r="WYZ17" s="14"/>
      <c r="WZA17" s="14"/>
      <c r="WZB17" s="14"/>
      <c r="WZC17" s="14"/>
      <c r="WZD17" s="14"/>
      <c r="WZE17" s="14"/>
      <c r="WZF17" s="14"/>
      <c r="WZG17" s="14"/>
      <c r="WZH17" s="14"/>
      <c r="WZI17" s="14"/>
      <c r="WZJ17" s="14"/>
      <c r="WZK17" s="14"/>
      <c r="WZL17" s="14"/>
      <c r="WZM17" s="14"/>
      <c r="WZN17" s="14"/>
      <c r="WZO17" s="14"/>
      <c r="WZP17" s="14"/>
      <c r="WZQ17" s="14"/>
      <c r="WZR17" s="14"/>
      <c r="WZS17" s="14"/>
      <c r="WZT17" s="14"/>
      <c r="WZU17" s="14"/>
      <c r="WZV17" s="14"/>
      <c r="WZW17" s="14"/>
      <c r="WZX17" s="14"/>
      <c r="WZY17" s="14"/>
      <c r="WZZ17" s="14"/>
      <c r="XAA17" s="14"/>
      <c r="XAB17" s="14"/>
      <c r="XAC17" s="14"/>
      <c r="XAD17" s="14"/>
      <c r="XAE17" s="14"/>
      <c r="XAF17" s="14"/>
      <c r="XAG17" s="14"/>
      <c r="XAH17" s="14"/>
      <c r="XAI17" s="14"/>
      <c r="XAJ17" s="14"/>
      <c r="XAK17" s="14"/>
      <c r="XAL17" s="14"/>
      <c r="XAM17" s="14"/>
      <c r="XAN17" s="14"/>
      <c r="XAO17" s="14"/>
      <c r="XAP17" s="14"/>
      <c r="XAQ17" s="14"/>
      <c r="XAR17" s="14"/>
      <c r="XAS17" s="14"/>
      <c r="XAT17" s="14"/>
      <c r="XAU17" s="14"/>
      <c r="XAV17" s="14"/>
      <c r="XAW17" s="14"/>
      <c r="XAX17" s="14"/>
      <c r="XAY17" s="14"/>
      <c r="XAZ17" s="14"/>
      <c r="XBA17" s="14"/>
      <c r="XBB17" s="14"/>
      <c r="XBC17" s="14"/>
      <c r="XBD17" s="14"/>
      <c r="XBE17" s="14"/>
      <c r="XBF17" s="14"/>
      <c r="XBG17" s="14"/>
      <c r="XBH17" s="14"/>
      <c r="XBI17" s="14"/>
      <c r="XBJ17" s="14"/>
      <c r="XBK17" s="14"/>
      <c r="XBL17" s="14"/>
      <c r="XBM17" s="14"/>
      <c r="XBN17" s="14"/>
      <c r="XBO17" s="14"/>
      <c r="XBP17" s="14"/>
      <c r="XBQ17" s="14"/>
      <c r="XBR17" s="14"/>
      <c r="XBS17" s="14"/>
      <c r="XBT17" s="14"/>
      <c r="XBU17" s="14"/>
      <c r="XBV17" s="14"/>
      <c r="XBW17" s="14"/>
      <c r="XBX17" s="14"/>
      <c r="XBY17" s="14"/>
      <c r="XBZ17" s="14"/>
      <c r="XCA17" s="14"/>
      <c r="XCB17" s="14"/>
      <c r="XCC17" s="14"/>
      <c r="XCD17" s="14"/>
      <c r="XCE17" s="14"/>
      <c r="XCF17" s="14"/>
      <c r="XCG17" s="14"/>
      <c r="XCH17" s="14"/>
      <c r="XCI17" s="14"/>
      <c r="XCJ17" s="14"/>
      <c r="XCK17" s="14"/>
      <c r="XCL17" s="14"/>
      <c r="XCM17" s="14"/>
      <c r="XCN17" s="14"/>
      <c r="XCO17" s="14"/>
      <c r="XCP17" s="14"/>
      <c r="XCQ17" s="14"/>
      <c r="XCR17" s="14"/>
      <c r="XCS17" s="14"/>
      <c r="XCT17" s="14"/>
      <c r="XCU17" s="14"/>
      <c r="XCV17" s="14"/>
      <c r="XCW17" s="14"/>
      <c r="XCX17" s="14"/>
      <c r="XCY17" s="14"/>
      <c r="XCZ17" s="14"/>
      <c r="XDA17" s="14"/>
      <c r="XDB17" s="14"/>
      <c r="XDC17" s="14"/>
      <c r="XDD17" s="14"/>
      <c r="XDE17" s="14"/>
      <c r="XDF17" s="14"/>
      <c r="XDG17" s="14"/>
      <c r="XDH17" s="14"/>
      <c r="XDI17" s="14"/>
      <c r="XDJ17" s="14"/>
      <c r="XDK17" s="14"/>
      <c r="XDL17" s="14"/>
      <c r="XDM17" s="14"/>
      <c r="XDN17" s="14"/>
      <c r="XDO17" s="14"/>
      <c r="XDP17" s="14"/>
      <c r="XDQ17" s="14"/>
      <c r="XDR17" s="14"/>
      <c r="XDS17" s="14"/>
      <c r="XDT17" s="14"/>
      <c r="XDU17" s="14"/>
      <c r="XDV17" s="14"/>
      <c r="XDW17" s="14"/>
      <c r="XDX17" s="14"/>
      <c r="XDY17" s="14"/>
      <c r="XDZ17" s="14"/>
      <c r="XEA17" s="14"/>
      <c r="XEB17" s="14"/>
      <c r="XEC17" s="14"/>
      <c r="XED17" s="14"/>
      <c r="XEE17" s="14"/>
      <c r="XEF17" s="14"/>
      <c r="XEG17" s="14"/>
      <c r="XEH17" s="14"/>
      <c r="XEI17" s="14"/>
      <c r="XEJ17" s="14"/>
      <c r="XEK17" s="14"/>
      <c r="XEL17" s="14"/>
      <c r="XEM17" s="14"/>
      <c r="XEN17" s="14"/>
      <c r="XEO17" s="14"/>
      <c r="XEP17" s="14"/>
      <c r="XEQ17" s="14"/>
      <c r="XER17" s="14"/>
      <c r="XES17" s="14"/>
      <c r="XET17" s="14"/>
      <c r="XEU17" s="14"/>
      <c r="XEV17" s="14"/>
      <c r="XEW17" s="14"/>
      <c r="XEX17" s="14"/>
      <c r="XEY17" s="14"/>
      <c r="XEZ17" s="14"/>
      <c r="XFA17" s="14"/>
      <c r="XFB17" s="14"/>
      <c r="XFC17" s="14"/>
      <c r="XFD17" s="14"/>
    </row>
    <row r="18" spans="5:16384" s="14" customFormat="1" x14ac:dyDescent="0.35">
      <c r="E18" s="24"/>
      <c r="G18" s="15"/>
      <c r="H18" s="15"/>
      <c r="I18" s="16"/>
      <c r="J18" s="17"/>
      <c r="K18" s="17"/>
      <c r="L18" s="10"/>
      <c r="M18" s="10"/>
      <c r="N18" s="10"/>
      <c r="O18" s="10"/>
      <c r="P18" s="10"/>
      <c r="Q18" s="10"/>
    </row>
    <row r="19" spans="5:16384" s="14" customFormat="1" x14ac:dyDescent="0.35">
      <c r="E19" s="24"/>
      <c r="G19" s="15"/>
      <c r="H19" s="15"/>
      <c r="I19" s="16"/>
      <c r="J19" s="17"/>
      <c r="K19" s="17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  <c r="HU19" s="10"/>
      <c r="HV19" s="10"/>
      <c r="HW19" s="10"/>
      <c r="HX19" s="10"/>
      <c r="HY19" s="10"/>
      <c r="HZ19" s="10"/>
      <c r="IA19" s="10"/>
      <c r="IB19" s="10"/>
      <c r="IC19" s="10"/>
      <c r="ID19" s="10"/>
      <c r="IE19" s="10"/>
      <c r="IF19" s="10"/>
      <c r="IG19" s="10"/>
      <c r="IH19" s="10"/>
      <c r="II19" s="10"/>
      <c r="IJ19" s="10"/>
      <c r="IK19" s="10"/>
      <c r="IL19" s="10"/>
      <c r="IM19" s="10"/>
      <c r="IN19" s="10"/>
      <c r="IO19" s="10"/>
      <c r="IP19" s="10"/>
      <c r="IQ19" s="10"/>
      <c r="IR19" s="10"/>
      <c r="IS19" s="10"/>
      <c r="IT19" s="10"/>
      <c r="IU19" s="10"/>
      <c r="IV19" s="10"/>
      <c r="IW19" s="10"/>
      <c r="IX19" s="10"/>
      <c r="IY19" s="10"/>
      <c r="IZ19" s="10"/>
      <c r="JA19" s="10"/>
      <c r="JB19" s="10"/>
      <c r="JC19" s="10"/>
      <c r="JD19" s="10"/>
      <c r="JE19" s="10"/>
      <c r="JF19" s="10"/>
      <c r="JG19" s="10"/>
      <c r="JH19" s="10"/>
      <c r="JI19" s="10"/>
      <c r="JJ19" s="10"/>
      <c r="JK19" s="10"/>
      <c r="JL19" s="10"/>
      <c r="JM19" s="10"/>
      <c r="JN19" s="10"/>
      <c r="JO19" s="10"/>
      <c r="JP19" s="10"/>
      <c r="JQ19" s="10"/>
      <c r="JR19" s="10"/>
      <c r="JS19" s="10"/>
      <c r="JT19" s="10"/>
      <c r="JU19" s="10"/>
      <c r="JV19" s="10"/>
      <c r="JW19" s="10"/>
      <c r="JX19" s="10"/>
      <c r="JY19" s="10"/>
      <c r="JZ19" s="10"/>
      <c r="KA19" s="10"/>
      <c r="KB19" s="10"/>
      <c r="KC19" s="10"/>
      <c r="KD19" s="10"/>
      <c r="KE19" s="10"/>
      <c r="KF19" s="10"/>
      <c r="KG19" s="10"/>
      <c r="KH19" s="10"/>
      <c r="KI19" s="10"/>
      <c r="KJ19" s="10"/>
      <c r="KK19" s="10"/>
      <c r="KL19" s="10"/>
      <c r="KM19" s="10"/>
      <c r="KN19" s="10"/>
      <c r="KO19" s="10"/>
      <c r="KP19" s="10"/>
      <c r="KQ19" s="10"/>
      <c r="KR19" s="10"/>
      <c r="KS19" s="10"/>
      <c r="KT19" s="10"/>
      <c r="KU19" s="10"/>
      <c r="KV19" s="10"/>
      <c r="KW19" s="10"/>
      <c r="KX19" s="10"/>
      <c r="KY19" s="10"/>
      <c r="KZ19" s="10"/>
      <c r="LA19" s="10"/>
      <c r="LB19" s="10"/>
      <c r="LC19" s="10"/>
      <c r="LD19" s="10"/>
      <c r="LE19" s="10"/>
      <c r="LF19" s="10"/>
      <c r="LG19" s="10"/>
      <c r="LH19" s="10"/>
      <c r="LI19" s="10"/>
      <c r="LJ19" s="10"/>
      <c r="LK19" s="10"/>
      <c r="LL19" s="10"/>
      <c r="LM19" s="10"/>
      <c r="LN19" s="10"/>
      <c r="LO19" s="10"/>
      <c r="LP19" s="10"/>
      <c r="LQ19" s="10"/>
      <c r="LR19" s="10"/>
      <c r="LS19" s="10"/>
      <c r="LT19" s="10"/>
      <c r="LU19" s="10"/>
      <c r="LV19" s="10"/>
      <c r="LW19" s="10"/>
      <c r="LX19" s="10"/>
      <c r="LY19" s="10"/>
      <c r="LZ19" s="10"/>
      <c r="MA19" s="10"/>
      <c r="MB19" s="10"/>
      <c r="MC19" s="10"/>
      <c r="MD19" s="10"/>
      <c r="ME19" s="10"/>
      <c r="MF19" s="10"/>
      <c r="MG19" s="10"/>
      <c r="MH19" s="10"/>
      <c r="MI19" s="10"/>
      <c r="MJ19" s="10"/>
      <c r="MK19" s="10"/>
      <c r="ML19" s="10"/>
      <c r="MM19" s="10"/>
      <c r="MN19" s="10"/>
      <c r="MO19" s="10"/>
      <c r="MP19" s="10"/>
      <c r="MQ19" s="10"/>
      <c r="MR19" s="10"/>
      <c r="MS19" s="10"/>
      <c r="MT19" s="10"/>
      <c r="MU19" s="10"/>
      <c r="MV19" s="10"/>
      <c r="MW19" s="10"/>
      <c r="MX19" s="10"/>
      <c r="MY19" s="10"/>
      <c r="MZ19" s="10"/>
      <c r="NA19" s="10"/>
      <c r="NB19" s="10"/>
      <c r="NC19" s="10"/>
      <c r="ND19" s="10"/>
      <c r="NE19" s="10"/>
      <c r="NF19" s="10"/>
      <c r="NG19" s="10"/>
      <c r="NH19" s="10"/>
      <c r="NI19" s="10"/>
      <c r="NJ19" s="10"/>
      <c r="NK19" s="10"/>
      <c r="NL19" s="10"/>
      <c r="NM19" s="10"/>
      <c r="NN19" s="10"/>
      <c r="NO19" s="10"/>
      <c r="NP19" s="10"/>
      <c r="NQ19" s="10"/>
      <c r="NR19" s="10"/>
      <c r="NS19" s="10"/>
      <c r="NT19" s="10"/>
      <c r="NU19" s="10"/>
      <c r="NV19" s="10"/>
      <c r="NW19" s="10"/>
      <c r="NX19" s="10"/>
      <c r="NY19" s="10"/>
      <c r="NZ19" s="10"/>
      <c r="OA19" s="10"/>
      <c r="OB19" s="10"/>
      <c r="OC19" s="10"/>
      <c r="OD19" s="10"/>
      <c r="OE19" s="10"/>
      <c r="OF19" s="10"/>
      <c r="OG19" s="10"/>
      <c r="OH19" s="10"/>
      <c r="OI19" s="10"/>
      <c r="OJ19" s="10"/>
      <c r="OK19" s="10"/>
      <c r="OL19" s="10"/>
      <c r="OM19" s="10"/>
      <c r="ON19" s="10"/>
      <c r="OO19" s="10"/>
      <c r="OP19" s="10"/>
      <c r="OQ19" s="10"/>
      <c r="OR19" s="10"/>
      <c r="OS19" s="10"/>
      <c r="OT19" s="10"/>
      <c r="OU19" s="10"/>
      <c r="OV19" s="10"/>
      <c r="OW19" s="10"/>
      <c r="OX19" s="10"/>
      <c r="OY19" s="10"/>
      <c r="OZ19" s="10"/>
      <c r="PA19" s="10"/>
      <c r="PB19" s="10"/>
      <c r="PC19" s="10"/>
      <c r="PD19" s="10"/>
      <c r="PE19" s="10"/>
      <c r="PF19" s="10"/>
      <c r="PG19" s="10"/>
      <c r="PH19" s="10"/>
      <c r="PI19" s="10"/>
      <c r="PJ19" s="10"/>
      <c r="PK19" s="10"/>
      <c r="PL19" s="10"/>
      <c r="PM19" s="10"/>
      <c r="PN19" s="10"/>
      <c r="PO19" s="10"/>
      <c r="PP19" s="10"/>
      <c r="PQ19" s="10"/>
      <c r="PR19" s="10"/>
      <c r="PS19" s="10"/>
      <c r="PT19" s="10"/>
      <c r="PU19" s="10"/>
      <c r="PV19" s="10"/>
      <c r="PW19" s="10"/>
      <c r="PX19" s="10"/>
      <c r="PY19" s="10"/>
      <c r="PZ19" s="10"/>
      <c r="QA19" s="10"/>
      <c r="QB19" s="10"/>
      <c r="QC19" s="10"/>
      <c r="QD19" s="10"/>
      <c r="QE19" s="10"/>
      <c r="QF19" s="10"/>
      <c r="QG19" s="10"/>
      <c r="QH19" s="10"/>
      <c r="QI19" s="10"/>
      <c r="QJ19" s="10"/>
      <c r="QK19" s="10"/>
      <c r="QL19" s="10"/>
      <c r="QM19" s="10"/>
      <c r="QN19" s="10"/>
      <c r="QO19" s="10"/>
      <c r="QP19" s="10"/>
      <c r="QQ19" s="10"/>
      <c r="QR19" s="10"/>
      <c r="QS19" s="10"/>
      <c r="QT19" s="10"/>
      <c r="QU19" s="10"/>
      <c r="QV19" s="10"/>
      <c r="QW19" s="10"/>
      <c r="QX19" s="10"/>
      <c r="QY19" s="10"/>
      <c r="QZ19" s="10"/>
      <c r="RA19" s="10"/>
      <c r="RB19" s="10"/>
      <c r="RC19" s="10"/>
      <c r="RD19" s="10"/>
      <c r="RE19" s="10"/>
      <c r="RF19" s="10"/>
      <c r="RG19" s="10"/>
      <c r="RH19" s="10"/>
      <c r="RI19" s="10"/>
      <c r="RJ19" s="10"/>
      <c r="RK19" s="10"/>
      <c r="RL19" s="10"/>
      <c r="RM19" s="10"/>
      <c r="RN19" s="10"/>
      <c r="RO19" s="10"/>
      <c r="RP19" s="10"/>
      <c r="RQ19" s="10"/>
      <c r="RR19" s="10"/>
      <c r="RS19" s="10"/>
      <c r="RT19" s="10"/>
      <c r="RU19" s="10"/>
      <c r="RV19" s="10"/>
      <c r="RW19" s="10"/>
      <c r="RX19" s="10"/>
      <c r="RY19" s="10"/>
      <c r="RZ19" s="10"/>
      <c r="SA19" s="10"/>
      <c r="SB19" s="10"/>
      <c r="SC19" s="10"/>
      <c r="SD19" s="10"/>
      <c r="SE19" s="10"/>
      <c r="SF19" s="10"/>
      <c r="SG19" s="10"/>
      <c r="SH19" s="10"/>
      <c r="SI19" s="10"/>
      <c r="SJ19" s="10"/>
      <c r="SK19" s="10"/>
      <c r="SL19" s="10"/>
      <c r="SM19" s="10"/>
      <c r="SN19" s="10"/>
      <c r="SO19" s="10"/>
      <c r="SP19" s="10"/>
      <c r="SQ19" s="10"/>
      <c r="SR19" s="10"/>
      <c r="SS19" s="10"/>
      <c r="ST19" s="10"/>
      <c r="SU19" s="10"/>
      <c r="SV19" s="10"/>
      <c r="SW19" s="10"/>
      <c r="SX19" s="10"/>
      <c r="SY19" s="10"/>
      <c r="SZ19" s="10"/>
      <c r="TA19" s="10"/>
      <c r="TB19" s="10"/>
      <c r="TC19" s="10"/>
      <c r="TD19" s="10"/>
      <c r="TE19" s="10"/>
      <c r="TF19" s="10"/>
      <c r="TG19" s="10"/>
      <c r="TH19" s="10"/>
      <c r="TI19" s="10"/>
      <c r="TJ19" s="10"/>
      <c r="TK19" s="10"/>
      <c r="TL19" s="10"/>
      <c r="TM19" s="10"/>
      <c r="TN19" s="10"/>
      <c r="TO19" s="10"/>
      <c r="TP19" s="10"/>
      <c r="TQ19" s="10"/>
      <c r="TR19" s="10"/>
      <c r="TS19" s="10"/>
      <c r="TT19" s="10"/>
      <c r="TU19" s="10"/>
      <c r="TV19" s="10"/>
      <c r="TW19" s="10"/>
      <c r="TX19" s="10"/>
      <c r="TY19" s="10"/>
      <c r="TZ19" s="10"/>
      <c r="UA19" s="10"/>
      <c r="UB19" s="10"/>
      <c r="UC19" s="10"/>
      <c r="UD19" s="10"/>
      <c r="UE19" s="10"/>
      <c r="UF19" s="10"/>
      <c r="UG19" s="10"/>
      <c r="UH19" s="10"/>
      <c r="UI19" s="10"/>
      <c r="UJ19" s="10"/>
      <c r="UK19" s="10"/>
      <c r="UL19" s="10"/>
      <c r="UM19" s="10"/>
      <c r="UN19" s="10"/>
      <c r="UO19" s="10"/>
      <c r="UP19" s="10"/>
      <c r="UQ19" s="10"/>
      <c r="UR19" s="10"/>
      <c r="US19" s="10"/>
      <c r="UT19" s="10"/>
      <c r="UU19" s="10"/>
      <c r="UV19" s="10"/>
      <c r="UW19" s="10"/>
      <c r="UX19" s="10"/>
      <c r="UY19" s="10"/>
      <c r="UZ19" s="10"/>
      <c r="VA19" s="10"/>
      <c r="VB19" s="10"/>
      <c r="VC19" s="10"/>
      <c r="VD19" s="10"/>
      <c r="VE19" s="10"/>
      <c r="VF19" s="10"/>
      <c r="VG19" s="10"/>
      <c r="VH19" s="10"/>
      <c r="VI19" s="10"/>
      <c r="VJ19" s="10"/>
      <c r="VK19" s="10"/>
      <c r="VL19" s="10"/>
      <c r="VM19" s="10"/>
      <c r="VN19" s="10"/>
      <c r="VO19" s="10"/>
      <c r="VP19" s="10"/>
      <c r="VQ19" s="10"/>
      <c r="VR19" s="10"/>
      <c r="VS19" s="10"/>
      <c r="VT19" s="10"/>
      <c r="VU19" s="10"/>
      <c r="VV19" s="10"/>
      <c r="VW19" s="10"/>
      <c r="VX19" s="10"/>
      <c r="VY19" s="10"/>
      <c r="VZ19" s="10"/>
      <c r="WA19" s="10"/>
      <c r="WB19" s="10"/>
      <c r="WC19" s="10"/>
      <c r="WD19" s="10"/>
      <c r="WE19" s="10"/>
      <c r="WF19" s="10"/>
      <c r="WG19" s="10"/>
      <c r="WH19" s="10"/>
      <c r="WI19" s="10"/>
      <c r="WJ19" s="10"/>
      <c r="WK19" s="10"/>
      <c r="WL19" s="10"/>
      <c r="WM19" s="10"/>
      <c r="WN19" s="10"/>
      <c r="WO19" s="10"/>
      <c r="WP19" s="10"/>
      <c r="WQ19" s="10"/>
      <c r="WR19" s="10"/>
      <c r="WS19" s="10"/>
      <c r="WT19" s="10"/>
      <c r="WU19" s="10"/>
      <c r="WV19" s="10"/>
      <c r="WW19" s="10"/>
      <c r="WX19" s="10"/>
      <c r="WY19" s="10"/>
      <c r="WZ19" s="10"/>
      <c r="XA19" s="10"/>
      <c r="XB19" s="10"/>
      <c r="XC19" s="10"/>
      <c r="XD19" s="10"/>
      <c r="XE19" s="10"/>
      <c r="XF19" s="10"/>
      <c r="XG19" s="10"/>
      <c r="XH19" s="10"/>
      <c r="XI19" s="10"/>
      <c r="XJ19" s="10"/>
      <c r="XK19" s="10"/>
      <c r="XL19" s="10"/>
      <c r="XM19" s="10"/>
      <c r="XN19" s="10"/>
      <c r="XO19" s="10"/>
      <c r="XP19" s="10"/>
      <c r="XQ19" s="10"/>
      <c r="XR19" s="10"/>
      <c r="XS19" s="10"/>
      <c r="XT19" s="10"/>
      <c r="XU19" s="10"/>
      <c r="XV19" s="10"/>
      <c r="XW19" s="10"/>
      <c r="XX19" s="10"/>
      <c r="XY19" s="10"/>
      <c r="XZ19" s="10"/>
      <c r="YA19" s="10"/>
      <c r="YB19" s="10"/>
      <c r="YC19" s="10"/>
      <c r="YD19" s="10"/>
      <c r="YE19" s="10"/>
      <c r="YF19" s="10"/>
      <c r="YG19" s="10"/>
      <c r="YH19" s="10"/>
      <c r="YI19" s="10"/>
      <c r="YJ19" s="10"/>
      <c r="YK19" s="10"/>
      <c r="YL19" s="10"/>
      <c r="YM19" s="10"/>
      <c r="YN19" s="10"/>
      <c r="YO19" s="10"/>
      <c r="YP19" s="10"/>
      <c r="YQ19" s="10"/>
      <c r="YR19" s="10"/>
      <c r="YS19" s="10"/>
      <c r="YT19" s="10"/>
      <c r="YU19" s="10"/>
      <c r="YV19" s="10"/>
      <c r="YW19" s="10"/>
      <c r="YX19" s="10"/>
      <c r="YY19" s="10"/>
      <c r="YZ19" s="10"/>
      <c r="ZA19" s="10"/>
      <c r="ZB19" s="10"/>
      <c r="ZC19" s="10"/>
      <c r="ZD19" s="10"/>
      <c r="ZE19" s="10"/>
      <c r="ZF19" s="10"/>
      <c r="ZG19" s="10"/>
      <c r="ZH19" s="10"/>
      <c r="ZI19" s="10"/>
      <c r="ZJ19" s="10"/>
      <c r="ZK19" s="10"/>
      <c r="ZL19" s="10"/>
      <c r="ZM19" s="10"/>
      <c r="ZN19" s="10"/>
      <c r="ZO19" s="10"/>
      <c r="ZP19" s="10"/>
      <c r="ZQ19" s="10"/>
      <c r="ZR19" s="10"/>
      <c r="ZS19" s="10"/>
      <c r="ZT19" s="10"/>
      <c r="ZU19" s="10"/>
      <c r="ZV19" s="10"/>
      <c r="ZW19" s="10"/>
      <c r="ZX19" s="10"/>
      <c r="ZY19" s="10"/>
      <c r="ZZ19" s="10"/>
      <c r="AAA19" s="10"/>
      <c r="AAB19" s="10"/>
      <c r="AAC19" s="10"/>
      <c r="AAD19" s="10"/>
      <c r="AAE19" s="10"/>
      <c r="AAF19" s="10"/>
      <c r="AAG19" s="10"/>
      <c r="AAH19" s="10"/>
      <c r="AAI19" s="10"/>
      <c r="AAJ19" s="10"/>
      <c r="AAK19" s="10"/>
      <c r="AAL19" s="10"/>
      <c r="AAM19" s="10"/>
      <c r="AAN19" s="10"/>
      <c r="AAO19" s="10"/>
      <c r="AAP19" s="10"/>
      <c r="AAQ19" s="10"/>
      <c r="AAR19" s="10"/>
      <c r="AAS19" s="10"/>
      <c r="AAT19" s="10"/>
      <c r="AAU19" s="10"/>
      <c r="AAV19" s="10"/>
      <c r="AAW19" s="10"/>
      <c r="AAX19" s="10"/>
      <c r="AAY19" s="10"/>
      <c r="AAZ19" s="10"/>
      <c r="ABA19" s="10"/>
      <c r="ABB19" s="10"/>
      <c r="ABC19" s="10"/>
      <c r="ABD19" s="10"/>
      <c r="ABE19" s="10"/>
      <c r="ABF19" s="10"/>
      <c r="ABG19" s="10"/>
      <c r="ABH19" s="10"/>
      <c r="ABI19" s="10"/>
      <c r="ABJ19" s="10"/>
      <c r="ABK19" s="10"/>
      <c r="ABL19" s="10"/>
      <c r="ABM19" s="10"/>
      <c r="ABN19" s="10"/>
      <c r="ABO19" s="10"/>
      <c r="ABP19" s="10"/>
      <c r="ABQ19" s="10"/>
      <c r="ABR19" s="10"/>
      <c r="ABS19" s="10"/>
      <c r="ABT19" s="10"/>
      <c r="ABU19" s="10"/>
      <c r="ABV19" s="10"/>
      <c r="ABW19" s="10"/>
      <c r="ABX19" s="10"/>
      <c r="ABY19" s="10"/>
      <c r="ABZ19" s="10"/>
      <c r="ACA19" s="10"/>
      <c r="ACB19" s="10"/>
      <c r="ACC19" s="10"/>
      <c r="ACD19" s="10"/>
      <c r="ACE19" s="10"/>
      <c r="ACF19" s="10"/>
      <c r="ACG19" s="10"/>
      <c r="ACH19" s="10"/>
      <c r="ACI19" s="10"/>
      <c r="ACJ19" s="10"/>
      <c r="ACK19" s="10"/>
      <c r="ACL19" s="10"/>
      <c r="ACM19" s="10"/>
      <c r="ACN19" s="10"/>
      <c r="ACO19" s="10"/>
      <c r="ACP19" s="10"/>
      <c r="ACQ19" s="10"/>
      <c r="ACR19" s="10"/>
      <c r="ACS19" s="10"/>
      <c r="ACT19" s="10"/>
      <c r="ACU19" s="10"/>
      <c r="ACV19" s="10"/>
      <c r="ACW19" s="10"/>
      <c r="ACX19" s="10"/>
      <c r="ACY19" s="10"/>
      <c r="ACZ19" s="10"/>
      <c r="ADA19" s="10"/>
      <c r="ADB19" s="10"/>
      <c r="ADC19" s="10"/>
      <c r="ADD19" s="10"/>
      <c r="ADE19" s="10"/>
      <c r="ADF19" s="10"/>
      <c r="ADG19" s="10"/>
      <c r="ADH19" s="10"/>
      <c r="ADI19" s="10"/>
      <c r="ADJ19" s="10"/>
      <c r="ADK19" s="10"/>
      <c r="ADL19" s="10"/>
      <c r="ADM19" s="10"/>
      <c r="ADN19" s="10"/>
      <c r="ADO19" s="10"/>
      <c r="ADP19" s="10"/>
      <c r="ADQ19" s="10"/>
      <c r="ADR19" s="10"/>
      <c r="ADS19" s="10"/>
      <c r="ADT19" s="10"/>
      <c r="ADU19" s="10"/>
      <c r="ADV19" s="10"/>
      <c r="ADW19" s="10"/>
      <c r="ADX19" s="10"/>
      <c r="ADY19" s="10"/>
      <c r="ADZ19" s="10"/>
      <c r="AEA19" s="10"/>
      <c r="AEB19" s="10"/>
      <c r="AEC19" s="10"/>
      <c r="AED19" s="10"/>
      <c r="AEE19" s="10"/>
      <c r="AEF19" s="10"/>
      <c r="AEG19" s="10"/>
      <c r="AEH19" s="10"/>
      <c r="AEI19" s="10"/>
      <c r="AEJ19" s="10"/>
      <c r="AEK19" s="10"/>
      <c r="AEL19" s="10"/>
      <c r="AEM19" s="10"/>
      <c r="AEN19" s="10"/>
      <c r="AEO19" s="10"/>
      <c r="AEP19" s="10"/>
      <c r="AEQ19" s="10"/>
      <c r="AER19" s="10"/>
      <c r="AES19" s="10"/>
      <c r="AET19" s="10"/>
      <c r="AEU19" s="10"/>
      <c r="AEV19" s="10"/>
      <c r="AEW19" s="10"/>
      <c r="AEX19" s="10"/>
      <c r="AEY19" s="10"/>
      <c r="AEZ19" s="10"/>
      <c r="AFA19" s="10"/>
      <c r="AFB19" s="10"/>
      <c r="AFC19" s="10"/>
      <c r="AFD19" s="10"/>
      <c r="AFE19" s="10"/>
      <c r="AFF19" s="10"/>
      <c r="AFG19" s="10"/>
      <c r="AFH19" s="10"/>
      <c r="AFI19" s="10"/>
      <c r="AFJ19" s="10"/>
      <c r="AFK19" s="10"/>
      <c r="AFL19" s="10"/>
      <c r="AFM19" s="10"/>
      <c r="AFN19" s="10"/>
      <c r="AFO19" s="10"/>
      <c r="AFP19" s="10"/>
      <c r="AFQ19" s="10"/>
      <c r="AFR19" s="10"/>
      <c r="AFS19" s="10"/>
      <c r="AFT19" s="10"/>
      <c r="AFU19" s="10"/>
      <c r="AFV19" s="10"/>
      <c r="AFW19" s="10"/>
      <c r="AFX19" s="10"/>
      <c r="AFY19" s="10"/>
      <c r="AFZ19" s="10"/>
      <c r="AGA19" s="10"/>
      <c r="AGB19" s="10"/>
      <c r="AGC19" s="10"/>
      <c r="AGD19" s="10"/>
      <c r="AGE19" s="10"/>
      <c r="AGF19" s="10"/>
      <c r="AGG19" s="10"/>
      <c r="AGH19" s="10"/>
      <c r="AGI19" s="10"/>
      <c r="AGJ19" s="10"/>
      <c r="AGK19" s="10"/>
      <c r="AGL19" s="10"/>
      <c r="AGM19" s="10"/>
      <c r="AGN19" s="10"/>
      <c r="AGO19" s="10"/>
      <c r="AGP19" s="10"/>
      <c r="AGQ19" s="10"/>
      <c r="AGR19" s="10"/>
      <c r="AGS19" s="10"/>
      <c r="AGT19" s="10"/>
      <c r="AGU19" s="10"/>
      <c r="AGV19" s="10"/>
      <c r="AGW19" s="10"/>
      <c r="AGX19" s="10"/>
      <c r="AGY19" s="10"/>
      <c r="AGZ19" s="10"/>
      <c r="AHA19" s="10"/>
      <c r="AHB19" s="10"/>
      <c r="AHC19" s="10"/>
      <c r="AHD19" s="10"/>
      <c r="AHE19" s="10"/>
      <c r="AHF19" s="10"/>
      <c r="AHG19" s="10"/>
      <c r="AHH19" s="10"/>
      <c r="AHI19" s="10"/>
      <c r="AHJ19" s="10"/>
      <c r="AHK19" s="10"/>
      <c r="AHL19" s="10"/>
      <c r="AHM19" s="10"/>
      <c r="AHN19" s="10"/>
      <c r="AHO19" s="10"/>
      <c r="AHP19" s="10"/>
      <c r="AHQ19" s="10"/>
      <c r="AHR19" s="10"/>
      <c r="AHS19" s="10"/>
      <c r="AHT19" s="10"/>
      <c r="AHU19" s="10"/>
      <c r="AHV19" s="10"/>
      <c r="AHW19" s="10"/>
      <c r="AHX19" s="10"/>
      <c r="AHY19" s="10"/>
      <c r="AHZ19" s="10"/>
      <c r="AIA19" s="10"/>
      <c r="AIB19" s="10"/>
      <c r="AIC19" s="10"/>
      <c r="AID19" s="10"/>
      <c r="AIE19" s="10"/>
      <c r="AIF19" s="10"/>
      <c r="AIG19" s="10"/>
      <c r="AIH19" s="10"/>
      <c r="AII19" s="10"/>
      <c r="AIJ19" s="10"/>
      <c r="AIK19" s="10"/>
      <c r="AIL19" s="10"/>
      <c r="AIM19" s="10"/>
      <c r="AIN19" s="10"/>
      <c r="AIO19" s="10"/>
      <c r="AIP19" s="10"/>
      <c r="AIQ19" s="10"/>
      <c r="AIR19" s="10"/>
      <c r="AIS19" s="10"/>
      <c r="AIT19" s="10"/>
      <c r="AIU19" s="10"/>
      <c r="AIV19" s="10"/>
      <c r="AIW19" s="10"/>
      <c r="AIX19" s="10"/>
      <c r="AIY19" s="10"/>
      <c r="AIZ19" s="10"/>
      <c r="AJA19" s="10"/>
      <c r="AJB19" s="10"/>
      <c r="AJC19" s="10"/>
      <c r="AJD19" s="10"/>
      <c r="AJE19" s="10"/>
      <c r="AJF19" s="10"/>
      <c r="AJG19" s="10"/>
      <c r="AJH19" s="10"/>
      <c r="AJI19" s="10"/>
      <c r="AJJ19" s="10"/>
      <c r="AJK19" s="10"/>
      <c r="AJL19" s="10"/>
      <c r="AJM19" s="10"/>
      <c r="AJN19" s="10"/>
      <c r="AJO19" s="10"/>
      <c r="AJP19" s="10"/>
      <c r="AJQ19" s="10"/>
      <c r="AJR19" s="10"/>
      <c r="AJS19" s="10"/>
      <c r="AJT19" s="10"/>
      <c r="AJU19" s="10"/>
      <c r="AJV19" s="10"/>
      <c r="AJW19" s="10"/>
      <c r="AJX19" s="10"/>
      <c r="AJY19" s="10"/>
      <c r="AJZ19" s="10"/>
      <c r="AKA19" s="10"/>
      <c r="AKB19" s="10"/>
      <c r="AKC19" s="10"/>
      <c r="AKD19" s="10"/>
      <c r="AKE19" s="10"/>
      <c r="AKF19" s="10"/>
      <c r="AKG19" s="10"/>
      <c r="AKH19" s="10"/>
      <c r="AKI19" s="10"/>
      <c r="AKJ19" s="10"/>
      <c r="AKK19" s="10"/>
      <c r="AKL19" s="10"/>
      <c r="AKM19" s="10"/>
      <c r="AKN19" s="10"/>
      <c r="AKO19" s="10"/>
      <c r="AKP19" s="10"/>
      <c r="AKQ19" s="10"/>
      <c r="AKR19" s="10"/>
      <c r="AKS19" s="10"/>
      <c r="AKT19" s="10"/>
      <c r="AKU19" s="10"/>
      <c r="AKV19" s="10"/>
      <c r="AKW19" s="10"/>
      <c r="AKX19" s="10"/>
      <c r="AKY19" s="10"/>
      <c r="AKZ19" s="10"/>
      <c r="ALA19" s="10"/>
      <c r="ALB19" s="10"/>
      <c r="ALC19" s="10"/>
      <c r="ALD19" s="10"/>
      <c r="ALE19" s="10"/>
      <c r="ALF19" s="10"/>
      <c r="ALG19" s="10"/>
      <c r="ALH19" s="10"/>
      <c r="ALI19" s="10"/>
      <c r="ALJ19" s="10"/>
      <c r="ALK19" s="10"/>
      <c r="ALL19" s="10"/>
      <c r="ALM19" s="10"/>
      <c r="ALN19" s="10"/>
      <c r="ALO19" s="10"/>
      <c r="ALP19" s="10"/>
      <c r="ALQ19" s="10"/>
      <c r="ALR19" s="10"/>
      <c r="ALS19" s="10"/>
      <c r="ALT19" s="10"/>
      <c r="ALU19" s="10"/>
      <c r="ALV19" s="10"/>
      <c r="ALW19" s="10"/>
      <c r="ALX19" s="10"/>
      <c r="ALY19" s="10"/>
      <c r="ALZ19" s="10"/>
      <c r="AMA19" s="10"/>
      <c r="AMB19" s="10"/>
      <c r="AMC19" s="10"/>
      <c r="AMD19" s="10"/>
      <c r="AME19" s="10"/>
      <c r="AMF19" s="10"/>
      <c r="AMG19" s="10"/>
      <c r="AMH19" s="10"/>
      <c r="AMI19" s="10"/>
      <c r="AMJ19" s="10"/>
      <c r="AMK19" s="10"/>
      <c r="AML19" s="10"/>
      <c r="AMM19" s="10"/>
      <c r="AMN19" s="10"/>
      <c r="AMO19" s="10"/>
      <c r="AMP19" s="10"/>
      <c r="AMQ19" s="10"/>
      <c r="AMR19" s="10"/>
      <c r="AMS19" s="10"/>
      <c r="AMT19" s="10"/>
      <c r="AMU19" s="10"/>
      <c r="AMV19" s="10"/>
      <c r="AMW19" s="10"/>
      <c r="AMX19" s="10"/>
      <c r="AMY19" s="10"/>
      <c r="AMZ19" s="10"/>
      <c r="ANA19" s="10"/>
      <c r="ANB19" s="10"/>
      <c r="ANC19" s="10"/>
      <c r="AND19" s="10"/>
      <c r="ANE19" s="10"/>
      <c r="ANF19" s="10"/>
      <c r="ANG19" s="10"/>
      <c r="ANH19" s="10"/>
      <c r="ANI19" s="10"/>
      <c r="ANJ19" s="10"/>
      <c r="ANK19" s="10"/>
      <c r="ANL19" s="10"/>
      <c r="ANM19" s="10"/>
      <c r="ANN19" s="10"/>
      <c r="ANO19" s="10"/>
      <c r="ANP19" s="10"/>
      <c r="ANQ19" s="10"/>
      <c r="ANR19" s="10"/>
      <c r="ANS19" s="10"/>
      <c r="ANT19" s="10"/>
      <c r="ANU19" s="10"/>
      <c r="ANV19" s="10"/>
      <c r="ANW19" s="10"/>
      <c r="ANX19" s="10"/>
      <c r="ANY19" s="10"/>
      <c r="ANZ19" s="10"/>
      <c r="AOA19" s="10"/>
      <c r="AOB19" s="10"/>
      <c r="AOC19" s="10"/>
      <c r="AOD19" s="10"/>
      <c r="AOE19" s="10"/>
      <c r="AOF19" s="10"/>
      <c r="AOG19" s="10"/>
      <c r="AOH19" s="10"/>
      <c r="AOI19" s="10"/>
      <c r="AOJ19" s="10"/>
      <c r="AOK19" s="10"/>
      <c r="AOL19" s="10"/>
      <c r="AOM19" s="10"/>
      <c r="AON19" s="10"/>
      <c r="AOO19" s="10"/>
      <c r="AOP19" s="10"/>
      <c r="AOQ19" s="10"/>
      <c r="AOR19" s="10"/>
      <c r="AOS19" s="10"/>
      <c r="AOT19" s="10"/>
      <c r="AOU19" s="10"/>
      <c r="AOV19" s="10"/>
      <c r="AOW19" s="10"/>
      <c r="AOX19" s="10"/>
      <c r="AOY19" s="10"/>
      <c r="AOZ19" s="10"/>
      <c r="APA19" s="10"/>
      <c r="APB19" s="10"/>
      <c r="APC19" s="10"/>
      <c r="APD19" s="10"/>
      <c r="APE19" s="10"/>
      <c r="APF19" s="10"/>
      <c r="APG19" s="10"/>
      <c r="APH19" s="10"/>
      <c r="API19" s="10"/>
      <c r="APJ19" s="10"/>
      <c r="APK19" s="10"/>
      <c r="APL19" s="10"/>
      <c r="APM19" s="10"/>
      <c r="APN19" s="10"/>
      <c r="APO19" s="10"/>
      <c r="APP19" s="10"/>
      <c r="APQ19" s="10"/>
      <c r="APR19" s="10"/>
      <c r="APS19" s="10"/>
      <c r="APT19" s="10"/>
      <c r="APU19" s="10"/>
      <c r="APV19" s="10"/>
      <c r="APW19" s="10"/>
      <c r="APX19" s="10"/>
      <c r="APY19" s="10"/>
      <c r="APZ19" s="10"/>
      <c r="AQA19" s="10"/>
      <c r="AQB19" s="10"/>
      <c r="AQC19" s="10"/>
      <c r="AQD19" s="10"/>
      <c r="AQE19" s="10"/>
      <c r="AQF19" s="10"/>
      <c r="AQG19" s="10"/>
      <c r="AQH19" s="10"/>
      <c r="AQI19" s="10"/>
      <c r="AQJ19" s="10"/>
      <c r="AQK19" s="10"/>
      <c r="AQL19" s="10"/>
      <c r="AQM19" s="10"/>
      <c r="AQN19" s="10"/>
      <c r="AQO19" s="10"/>
      <c r="AQP19" s="10"/>
      <c r="AQQ19" s="10"/>
      <c r="AQR19" s="10"/>
      <c r="AQS19" s="10"/>
      <c r="AQT19" s="10"/>
      <c r="AQU19" s="10"/>
      <c r="AQV19" s="10"/>
      <c r="AQW19" s="10"/>
      <c r="AQX19" s="10"/>
      <c r="AQY19" s="10"/>
      <c r="AQZ19" s="10"/>
      <c r="ARA19" s="10"/>
      <c r="ARB19" s="10"/>
      <c r="ARC19" s="10"/>
      <c r="ARD19" s="10"/>
      <c r="ARE19" s="10"/>
      <c r="ARF19" s="10"/>
      <c r="ARG19" s="10"/>
      <c r="ARH19" s="10"/>
      <c r="ARI19" s="10"/>
      <c r="ARJ19" s="10"/>
      <c r="ARK19" s="10"/>
      <c r="ARL19" s="10"/>
      <c r="ARM19" s="10"/>
      <c r="ARN19" s="10"/>
      <c r="ARO19" s="10"/>
      <c r="ARP19" s="10"/>
      <c r="ARQ19" s="10"/>
      <c r="ARR19" s="10"/>
      <c r="ARS19" s="10"/>
      <c r="ART19" s="10"/>
      <c r="ARU19" s="10"/>
      <c r="ARV19" s="10"/>
      <c r="ARW19" s="10"/>
      <c r="ARX19" s="10"/>
      <c r="ARY19" s="10"/>
      <c r="ARZ19" s="10"/>
      <c r="ASA19" s="10"/>
      <c r="ASB19" s="10"/>
      <c r="ASC19" s="10"/>
      <c r="ASD19" s="10"/>
      <c r="ASE19" s="10"/>
      <c r="ASF19" s="10"/>
      <c r="ASG19" s="10"/>
      <c r="ASH19" s="10"/>
      <c r="ASI19" s="10"/>
      <c r="ASJ19" s="10"/>
      <c r="ASK19" s="10"/>
      <c r="ASL19" s="10"/>
      <c r="ASM19" s="10"/>
      <c r="ASN19" s="10"/>
      <c r="ASO19" s="10"/>
      <c r="ASP19" s="10"/>
      <c r="ASQ19" s="10"/>
      <c r="ASR19" s="10"/>
      <c r="ASS19" s="10"/>
      <c r="AST19" s="10"/>
      <c r="ASU19" s="10"/>
      <c r="ASV19" s="10"/>
      <c r="ASW19" s="10"/>
      <c r="ASX19" s="10"/>
      <c r="ASY19" s="10"/>
      <c r="ASZ19" s="10"/>
      <c r="ATA19" s="10"/>
      <c r="ATB19" s="10"/>
      <c r="ATC19" s="10"/>
      <c r="ATD19" s="10"/>
      <c r="ATE19" s="10"/>
      <c r="ATF19" s="10"/>
      <c r="ATG19" s="10"/>
      <c r="ATH19" s="10"/>
      <c r="ATI19" s="10"/>
      <c r="ATJ19" s="10"/>
      <c r="ATK19" s="10"/>
      <c r="ATL19" s="10"/>
      <c r="ATM19" s="10"/>
      <c r="ATN19" s="10"/>
      <c r="ATO19" s="10"/>
      <c r="ATP19" s="10"/>
      <c r="ATQ19" s="10"/>
      <c r="ATR19" s="10"/>
      <c r="ATS19" s="10"/>
      <c r="ATT19" s="10"/>
      <c r="ATU19" s="10"/>
      <c r="ATV19" s="10"/>
      <c r="ATW19" s="10"/>
      <c r="ATX19" s="10"/>
      <c r="ATY19" s="10"/>
      <c r="ATZ19" s="10"/>
      <c r="AUA19" s="10"/>
      <c r="AUB19" s="10"/>
      <c r="AUC19" s="10"/>
      <c r="AUD19" s="10"/>
      <c r="AUE19" s="10"/>
      <c r="AUF19" s="10"/>
      <c r="AUG19" s="10"/>
      <c r="AUH19" s="10"/>
      <c r="AUI19" s="10"/>
      <c r="AUJ19" s="10"/>
      <c r="AUK19" s="10"/>
      <c r="AUL19" s="10"/>
      <c r="AUM19" s="10"/>
      <c r="AUN19" s="10"/>
      <c r="AUO19" s="10"/>
      <c r="AUP19" s="10"/>
      <c r="AUQ19" s="10"/>
      <c r="AUR19" s="10"/>
      <c r="AUS19" s="10"/>
      <c r="AUT19" s="10"/>
      <c r="AUU19" s="10"/>
      <c r="AUV19" s="10"/>
      <c r="AUW19" s="10"/>
      <c r="AUX19" s="10"/>
      <c r="AUY19" s="10"/>
      <c r="AUZ19" s="10"/>
      <c r="AVA19" s="10"/>
      <c r="AVB19" s="10"/>
      <c r="AVC19" s="10"/>
      <c r="AVD19" s="10"/>
      <c r="AVE19" s="10"/>
      <c r="AVF19" s="10"/>
      <c r="AVG19" s="10"/>
      <c r="AVH19" s="10"/>
      <c r="AVI19" s="10"/>
      <c r="AVJ19" s="10"/>
      <c r="AVK19" s="10"/>
      <c r="AVL19" s="10"/>
      <c r="AVM19" s="10"/>
      <c r="AVN19" s="10"/>
      <c r="AVO19" s="10"/>
      <c r="AVP19" s="10"/>
      <c r="AVQ19" s="10"/>
      <c r="AVR19" s="10"/>
      <c r="AVS19" s="10"/>
      <c r="AVT19" s="10"/>
      <c r="AVU19" s="10"/>
      <c r="AVV19" s="10"/>
      <c r="AVW19" s="10"/>
      <c r="AVX19" s="10"/>
      <c r="AVY19" s="10"/>
      <c r="AVZ19" s="10"/>
      <c r="AWA19" s="10"/>
      <c r="AWB19" s="10"/>
      <c r="AWC19" s="10"/>
      <c r="AWD19" s="10"/>
      <c r="AWE19" s="10"/>
      <c r="AWF19" s="10"/>
      <c r="AWG19" s="10"/>
      <c r="AWH19" s="10"/>
      <c r="AWI19" s="10"/>
      <c r="AWJ19" s="10"/>
      <c r="AWK19" s="10"/>
      <c r="AWL19" s="10"/>
      <c r="AWM19" s="10"/>
      <c r="AWN19" s="10"/>
      <c r="AWO19" s="10"/>
      <c r="AWP19" s="10"/>
      <c r="AWQ19" s="10"/>
      <c r="AWR19" s="10"/>
      <c r="AWS19" s="10"/>
      <c r="AWT19" s="10"/>
      <c r="AWU19" s="10"/>
      <c r="AWV19" s="10"/>
      <c r="AWW19" s="10"/>
      <c r="AWX19" s="10"/>
      <c r="AWY19" s="10"/>
      <c r="AWZ19" s="10"/>
      <c r="AXA19" s="10"/>
      <c r="AXB19" s="10"/>
      <c r="AXC19" s="10"/>
      <c r="AXD19" s="10"/>
      <c r="AXE19" s="10"/>
      <c r="AXF19" s="10"/>
      <c r="AXG19" s="10"/>
      <c r="AXH19" s="10"/>
      <c r="AXI19" s="10"/>
      <c r="AXJ19" s="10"/>
      <c r="AXK19" s="10"/>
      <c r="AXL19" s="10"/>
      <c r="AXM19" s="10"/>
      <c r="AXN19" s="10"/>
      <c r="AXO19" s="10"/>
      <c r="AXP19" s="10"/>
      <c r="AXQ19" s="10"/>
      <c r="AXR19" s="10"/>
      <c r="AXS19" s="10"/>
      <c r="AXT19" s="10"/>
      <c r="AXU19" s="10"/>
      <c r="AXV19" s="10"/>
      <c r="AXW19" s="10"/>
      <c r="AXX19" s="10"/>
      <c r="AXY19" s="10"/>
      <c r="AXZ19" s="10"/>
      <c r="AYA19" s="10"/>
      <c r="AYB19" s="10"/>
      <c r="AYC19" s="10"/>
      <c r="AYD19" s="10"/>
      <c r="AYE19" s="10"/>
      <c r="AYF19" s="10"/>
      <c r="AYG19" s="10"/>
      <c r="AYH19" s="10"/>
      <c r="AYI19" s="10"/>
      <c r="AYJ19" s="10"/>
      <c r="AYK19" s="10"/>
      <c r="AYL19" s="10"/>
      <c r="AYM19" s="10"/>
      <c r="AYN19" s="10"/>
      <c r="AYO19" s="10"/>
      <c r="AYP19" s="10"/>
      <c r="AYQ19" s="10"/>
      <c r="AYR19" s="10"/>
      <c r="AYS19" s="10"/>
      <c r="AYT19" s="10"/>
      <c r="AYU19" s="10"/>
      <c r="AYV19" s="10"/>
      <c r="AYW19" s="10"/>
      <c r="AYX19" s="10"/>
      <c r="AYY19" s="10"/>
      <c r="AYZ19" s="10"/>
      <c r="AZA19" s="10"/>
      <c r="AZB19" s="10"/>
      <c r="AZC19" s="10"/>
      <c r="AZD19" s="10"/>
      <c r="AZE19" s="10"/>
      <c r="AZF19" s="10"/>
      <c r="AZG19" s="10"/>
      <c r="AZH19" s="10"/>
      <c r="AZI19" s="10"/>
      <c r="AZJ19" s="10"/>
      <c r="AZK19" s="10"/>
      <c r="AZL19" s="10"/>
      <c r="AZM19" s="10"/>
      <c r="AZN19" s="10"/>
      <c r="AZO19" s="10"/>
      <c r="AZP19" s="10"/>
      <c r="AZQ19" s="10"/>
      <c r="AZR19" s="10"/>
      <c r="AZS19" s="10"/>
      <c r="AZT19" s="10"/>
      <c r="AZU19" s="10"/>
      <c r="AZV19" s="10"/>
      <c r="AZW19" s="10"/>
      <c r="AZX19" s="10"/>
      <c r="AZY19" s="10"/>
      <c r="AZZ19" s="10"/>
      <c r="BAA19" s="10"/>
      <c r="BAB19" s="10"/>
      <c r="BAC19" s="10"/>
      <c r="BAD19" s="10"/>
      <c r="BAE19" s="10"/>
      <c r="BAF19" s="10"/>
      <c r="BAG19" s="10"/>
      <c r="BAH19" s="10"/>
      <c r="BAI19" s="10"/>
      <c r="BAJ19" s="10"/>
      <c r="BAK19" s="10"/>
      <c r="BAL19" s="10"/>
      <c r="BAM19" s="10"/>
      <c r="BAN19" s="10"/>
      <c r="BAO19" s="10"/>
      <c r="BAP19" s="10"/>
      <c r="BAQ19" s="10"/>
      <c r="BAR19" s="10"/>
      <c r="BAS19" s="10"/>
      <c r="BAT19" s="10"/>
      <c r="BAU19" s="10"/>
      <c r="BAV19" s="10"/>
      <c r="BAW19" s="10"/>
      <c r="BAX19" s="10"/>
      <c r="BAY19" s="10"/>
      <c r="BAZ19" s="10"/>
      <c r="BBA19" s="10"/>
      <c r="BBB19" s="10"/>
      <c r="BBC19" s="10"/>
      <c r="BBD19" s="10"/>
      <c r="BBE19" s="10"/>
      <c r="BBF19" s="10"/>
      <c r="BBG19" s="10"/>
      <c r="BBH19" s="10"/>
      <c r="BBI19" s="10"/>
      <c r="BBJ19" s="10"/>
      <c r="BBK19" s="10"/>
      <c r="BBL19" s="10"/>
      <c r="BBM19" s="10"/>
      <c r="BBN19" s="10"/>
      <c r="BBO19" s="10"/>
      <c r="BBP19" s="10"/>
      <c r="BBQ19" s="10"/>
      <c r="BBR19" s="10"/>
      <c r="BBS19" s="10"/>
      <c r="BBT19" s="10"/>
      <c r="BBU19" s="10"/>
      <c r="BBV19" s="10"/>
      <c r="BBW19" s="10"/>
      <c r="BBX19" s="10"/>
      <c r="BBY19" s="10"/>
      <c r="BBZ19" s="10"/>
      <c r="BCA19" s="10"/>
      <c r="BCB19" s="10"/>
      <c r="BCC19" s="10"/>
      <c r="BCD19" s="10"/>
      <c r="BCE19" s="10"/>
      <c r="BCF19" s="10"/>
      <c r="BCG19" s="10"/>
      <c r="BCH19" s="10"/>
      <c r="BCI19" s="10"/>
      <c r="BCJ19" s="10"/>
      <c r="BCK19" s="10"/>
      <c r="BCL19" s="10"/>
      <c r="BCM19" s="10"/>
      <c r="BCN19" s="10"/>
      <c r="BCO19" s="10"/>
      <c r="BCP19" s="10"/>
      <c r="BCQ19" s="10"/>
      <c r="BCR19" s="10"/>
      <c r="BCS19" s="10"/>
      <c r="BCT19" s="10"/>
      <c r="BCU19" s="10"/>
      <c r="BCV19" s="10"/>
      <c r="BCW19" s="10"/>
      <c r="BCX19" s="10"/>
      <c r="BCY19" s="10"/>
      <c r="BCZ19" s="10"/>
      <c r="BDA19" s="10"/>
      <c r="BDB19" s="10"/>
      <c r="BDC19" s="10"/>
      <c r="BDD19" s="10"/>
      <c r="BDE19" s="10"/>
      <c r="BDF19" s="10"/>
      <c r="BDG19" s="10"/>
      <c r="BDH19" s="10"/>
      <c r="BDI19" s="10"/>
      <c r="BDJ19" s="10"/>
      <c r="BDK19" s="10"/>
      <c r="BDL19" s="10"/>
      <c r="BDM19" s="10"/>
      <c r="BDN19" s="10"/>
      <c r="BDO19" s="10"/>
      <c r="BDP19" s="10"/>
      <c r="BDQ19" s="10"/>
      <c r="BDR19" s="10"/>
      <c r="BDS19" s="10"/>
      <c r="BDT19" s="10"/>
      <c r="BDU19" s="10"/>
      <c r="BDV19" s="10"/>
      <c r="BDW19" s="10"/>
      <c r="BDX19" s="10"/>
      <c r="BDY19" s="10"/>
      <c r="BDZ19" s="10"/>
      <c r="BEA19" s="10"/>
      <c r="BEB19" s="10"/>
      <c r="BEC19" s="10"/>
      <c r="BED19" s="10"/>
      <c r="BEE19" s="10"/>
      <c r="BEF19" s="10"/>
      <c r="BEG19" s="10"/>
      <c r="BEH19" s="10"/>
      <c r="BEI19" s="10"/>
      <c r="BEJ19" s="10"/>
      <c r="BEK19" s="10"/>
      <c r="BEL19" s="10"/>
      <c r="BEM19" s="10"/>
      <c r="BEN19" s="10"/>
      <c r="BEO19" s="10"/>
      <c r="BEP19" s="10"/>
      <c r="BEQ19" s="10"/>
      <c r="BER19" s="10"/>
      <c r="BES19" s="10"/>
      <c r="BET19" s="10"/>
      <c r="BEU19" s="10"/>
      <c r="BEV19" s="10"/>
      <c r="BEW19" s="10"/>
      <c r="BEX19" s="10"/>
      <c r="BEY19" s="10"/>
      <c r="BEZ19" s="10"/>
      <c r="BFA19" s="10"/>
      <c r="BFB19" s="10"/>
      <c r="BFC19" s="10"/>
      <c r="BFD19" s="10"/>
      <c r="BFE19" s="10"/>
      <c r="BFF19" s="10"/>
      <c r="BFG19" s="10"/>
      <c r="BFH19" s="10"/>
      <c r="BFI19" s="10"/>
      <c r="BFJ19" s="10"/>
      <c r="BFK19" s="10"/>
      <c r="BFL19" s="10"/>
      <c r="BFM19" s="10"/>
      <c r="BFN19" s="10"/>
      <c r="BFO19" s="10"/>
      <c r="BFP19" s="10"/>
      <c r="BFQ19" s="10"/>
      <c r="BFR19" s="10"/>
      <c r="BFS19" s="10"/>
      <c r="BFT19" s="10"/>
      <c r="BFU19" s="10"/>
      <c r="BFV19" s="10"/>
      <c r="BFW19" s="10"/>
      <c r="BFX19" s="10"/>
      <c r="BFY19" s="10"/>
      <c r="BFZ19" s="10"/>
      <c r="BGA19" s="10"/>
      <c r="BGB19" s="10"/>
      <c r="BGC19" s="10"/>
      <c r="BGD19" s="10"/>
      <c r="BGE19" s="10"/>
      <c r="BGF19" s="10"/>
      <c r="BGG19" s="10"/>
      <c r="BGH19" s="10"/>
      <c r="BGI19" s="10"/>
      <c r="BGJ19" s="10"/>
      <c r="BGK19" s="10"/>
      <c r="BGL19" s="10"/>
      <c r="BGM19" s="10"/>
      <c r="BGN19" s="10"/>
      <c r="BGO19" s="10"/>
      <c r="BGP19" s="10"/>
      <c r="BGQ19" s="10"/>
      <c r="BGR19" s="10"/>
      <c r="BGS19" s="10"/>
      <c r="BGT19" s="10"/>
      <c r="BGU19" s="10"/>
      <c r="BGV19" s="10"/>
      <c r="BGW19" s="10"/>
      <c r="BGX19" s="10"/>
      <c r="BGY19" s="10"/>
      <c r="BGZ19" s="10"/>
      <c r="BHA19" s="10"/>
      <c r="BHB19" s="10"/>
      <c r="BHC19" s="10"/>
      <c r="BHD19" s="10"/>
      <c r="BHE19" s="10"/>
      <c r="BHF19" s="10"/>
      <c r="BHG19" s="10"/>
      <c r="BHH19" s="10"/>
      <c r="BHI19" s="10"/>
      <c r="BHJ19" s="10"/>
      <c r="BHK19" s="10"/>
      <c r="BHL19" s="10"/>
      <c r="BHM19" s="10"/>
      <c r="BHN19" s="10"/>
      <c r="BHO19" s="10"/>
      <c r="BHP19" s="10"/>
      <c r="BHQ19" s="10"/>
      <c r="BHR19" s="10"/>
      <c r="BHS19" s="10"/>
      <c r="BHT19" s="10"/>
      <c r="BHU19" s="10"/>
      <c r="BHV19" s="10"/>
      <c r="BHW19" s="10"/>
      <c r="BHX19" s="10"/>
      <c r="BHY19" s="10"/>
      <c r="BHZ19" s="10"/>
      <c r="BIA19" s="10"/>
      <c r="BIB19" s="10"/>
      <c r="BIC19" s="10"/>
      <c r="BID19" s="10"/>
      <c r="BIE19" s="10"/>
      <c r="BIF19" s="10"/>
      <c r="BIG19" s="10"/>
      <c r="BIH19" s="10"/>
      <c r="BII19" s="10"/>
      <c r="BIJ19" s="10"/>
      <c r="BIK19" s="10"/>
      <c r="BIL19" s="10"/>
      <c r="BIM19" s="10"/>
      <c r="BIN19" s="10"/>
      <c r="BIO19" s="10"/>
      <c r="BIP19" s="10"/>
      <c r="BIQ19" s="10"/>
      <c r="BIR19" s="10"/>
      <c r="BIS19" s="10"/>
      <c r="BIT19" s="10"/>
      <c r="BIU19" s="10"/>
      <c r="BIV19" s="10"/>
      <c r="BIW19" s="10"/>
      <c r="BIX19" s="10"/>
      <c r="BIY19" s="10"/>
      <c r="BIZ19" s="10"/>
      <c r="BJA19" s="10"/>
      <c r="BJB19" s="10"/>
      <c r="BJC19" s="10"/>
      <c r="BJD19" s="10"/>
      <c r="BJE19" s="10"/>
      <c r="BJF19" s="10"/>
      <c r="BJG19" s="10"/>
      <c r="BJH19" s="10"/>
      <c r="BJI19" s="10"/>
      <c r="BJJ19" s="10"/>
      <c r="BJK19" s="10"/>
      <c r="BJL19" s="10"/>
      <c r="BJM19" s="10"/>
      <c r="BJN19" s="10"/>
      <c r="BJO19" s="10"/>
      <c r="BJP19" s="10"/>
      <c r="BJQ19" s="10"/>
      <c r="BJR19" s="10"/>
      <c r="BJS19" s="10"/>
      <c r="BJT19" s="10"/>
      <c r="BJU19" s="10"/>
      <c r="BJV19" s="10"/>
      <c r="BJW19" s="10"/>
      <c r="BJX19" s="10"/>
      <c r="BJY19" s="10"/>
      <c r="BJZ19" s="10"/>
      <c r="BKA19" s="10"/>
      <c r="BKB19" s="10"/>
      <c r="BKC19" s="10"/>
      <c r="BKD19" s="10"/>
      <c r="BKE19" s="10"/>
      <c r="BKF19" s="10"/>
      <c r="BKG19" s="10"/>
      <c r="BKH19" s="10"/>
      <c r="BKI19" s="10"/>
      <c r="BKJ19" s="10"/>
      <c r="BKK19" s="10"/>
      <c r="BKL19" s="10"/>
      <c r="BKM19" s="10"/>
      <c r="BKN19" s="10"/>
      <c r="BKO19" s="10"/>
      <c r="BKP19" s="10"/>
      <c r="BKQ19" s="10"/>
      <c r="BKR19" s="10"/>
      <c r="BKS19" s="10"/>
      <c r="BKT19" s="10"/>
      <c r="BKU19" s="10"/>
      <c r="BKV19" s="10"/>
      <c r="BKW19" s="10"/>
      <c r="BKX19" s="10"/>
      <c r="BKY19" s="10"/>
      <c r="BKZ19" s="10"/>
      <c r="BLA19" s="10"/>
      <c r="BLB19" s="10"/>
      <c r="BLC19" s="10"/>
      <c r="BLD19" s="10"/>
      <c r="BLE19" s="10"/>
      <c r="BLF19" s="10"/>
      <c r="BLG19" s="10"/>
      <c r="BLH19" s="10"/>
      <c r="BLI19" s="10"/>
      <c r="BLJ19" s="10"/>
      <c r="BLK19" s="10"/>
      <c r="BLL19" s="10"/>
      <c r="BLM19" s="10"/>
      <c r="BLN19" s="10"/>
      <c r="BLO19" s="10"/>
      <c r="BLP19" s="10"/>
      <c r="BLQ19" s="10"/>
      <c r="BLR19" s="10"/>
      <c r="BLS19" s="10"/>
      <c r="BLT19" s="10"/>
      <c r="BLU19" s="10"/>
      <c r="BLV19" s="10"/>
      <c r="BLW19" s="10"/>
      <c r="BLX19" s="10"/>
      <c r="BLY19" s="10"/>
      <c r="BLZ19" s="10"/>
      <c r="BMA19" s="10"/>
      <c r="BMB19" s="10"/>
      <c r="BMC19" s="10"/>
      <c r="BMD19" s="10"/>
      <c r="BME19" s="10"/>
      <c r="BMF19" s="10"/>
      <c r="BMG19" s="10"/>
      <c r="BMH19" s="10"/>
      <c r="BMI19" s="10"/>
      <c r="BMJ19" s="10"/>
      <c r="BMK19" s="10"/>
      <c r="BML19" s="10"/>
      <c r="BMM19" s="10"/>
      <c r="BMN19" s="10"/>
      <c r="BMO19" s="10"/>
      <c r="BMP19" s="10"/>
      <c r="BMQ19" s="10"/>
      <c r="BMR19" s="10"/>
      <c r="BMS19" s="10"/>
      <c r="BMT19" s="10"/>
      <c r="BMU19" s="10"/>
      <c r="BMV19" s="10"/>
      <c r="BMW19" s="10"/>
      <c r="BMX19" s="10"/>
      <c r="BMY19" s="10"/>
      <c r="BMZ19" s="10"/>
      <c r="BNA19" s="10"/>
      <c r="BNB19" s="10"/>
      <c r="BNC19" s="10"/>
      <c r="BND19" s="10"/>
      <c r="BNE19" s="10"/>
      <c r="BNF19" s="10"/>
      <c r="BNG19" s="10"/>
      <c r="BNH19" s="10"/>
      <c r="BNI19" s="10"/>
      <c r="BNJ19" s="10"/>
      <c r="BNK19" s="10"/>
      <c r="BNL19" s="10"/>
      <c r="BNM19" s="10"/>
      <c r="BNN19" s="10"/>
      <c r="BNO19" s="10"/>
      <c r="BNP19" s="10"/>
      <c r="BNQ19" s="10"/>
      <c r="BNR19" s="10"/>
      <c r="BNS19" s="10"/>
      <c r="BNT19" s="10"/>
      <c r="BNU19" s="10"/>
      <c r="BNV19" s="10"/>
      <c r="BNW19" s="10"/>
      <c r="BNX19" s="10"/>
      <c r="BNY19" s="10"/>
      <c r="BNZ19" s="10"/>
      <c r="BOA19" s="10"/>
      <c r="BOB19" s="10"/>
      <c r="BOC19" s="10"/>
      <c r="BOD19" s="10"/>
      <c r="BOE19" s="10"/>
      <c r="BOF19" s="10"/>
      <c r="BOG19" s="10"/>
      <c r="BOH19" s="10"/>
      <c r="BOI19" s="10"/>
      <c r="BOJ19" s="10"/>
      <c r="BOK19" s="10"/>
      <c r="BOL19" s="10"/>
      <c r="BOM19" s="10"/>
      <c r="BON19" s="10"/>
      <c r="BOO19" s="10"/>
      <c r="BOP19" s="10"/>
      <c r="BOQ19" s="10"/>
      <c r="BOR19" s="10"/>
      <c r="BOS19" s="10"/>
      <c r="BOT19" s="10"/>
      <c r="BOU19" s="10"/>
      <c r="BOV19" s="10"/>
      <c r="BOW19" s="10"/>
      <c r="BOX19" s="10"/>
      <c r="BOY19" s="10"/>
      <c r="BOZ19" s="10"/>
      <c r="BPA19" s="10"/>
      <c r="BPB19" s="10"/>
      <c r="BPC19" s="10"/>
      <c r="BPD19" s="10"/>
      <c r="BPE19" s="10"/>
      <c r="BPF19" s="10"/>
      <c r="BPG19" s="10"/>
      <c r="BPH19" s="10"/>
      <c r="BPI19" s="10"/>
      <c r="BPJ19" s="10"/>
      <c r="BPK19" s="10"/>
      <c r="BPL19" s="10"/>
      <c r="BPM19" s="10"/>
      <c r="BPN19" s="10"/>
      <c r="BPO19" s="10"/>
      <c r="BPP19" s="10"/>
      <c r="BPQ19" s="10"/>
      <c r="BPR19" s="10"/>
      <c r="BPS19" s="10"/>
      <c r="BPT19" s="10"/>
      <c r="BPU19" s="10"/>
      <c r="BPV19" s="10"/>
      <c r="BPW19" s="10"/>
      <c r="BPX19" s="10"/>
      <c r="BPY19" s="10"/>
      <c r="BPZ19" s="10"/>
      <c r="BQA19" s="10"/>
      <c r="BQB19" s="10"/>
      <c r="BQC19" s="10"/>
      <c r="BQD19" s="10"/>
      <c r="BQE19" s="10"/>
      <c r="BQF19" s="10"/>
      <c r="BQG19" s="10"/>
      <c r="BQH19" s="10"/>
      <c r="BQI19" s="10"/>
      <c r="BQJ19" s="10"/>
      <c r="BQK19" s="10"/>
      <c r="BQL19" s="10"/>
      <c r="BQM19" s="10"/>
      <c r="BQN19" s="10"/>
      <c r="BQO19" s="10"/>
      <c r="BQP19" s="10"/>
      <c r="BQQ19" s="10"/>
      <c r="BQR19" s="10"/>
      <c r="BQS19" s="10"/>
      <c r="BQT19" s="10"/>
      <c r="BQU19" s="10"/>
      <c r="BQV19" s="10"/>
      <c r="BQW19" s="10"/>
      <c r="BQX19" s="10"/>
      <c r="BQY19" s="10"/>
      <c r="BQZ19" s="10"/>
      <c r="BRA19" s="10"/>
      <c r="BRB19" s="10"/>
      <c r="BRC19" s="10"/>
      <c r="BRD19" s="10"/>
      <c r="BRE19" s="10"/>
      <c r="BRF19" s="10"/>
      <c r="BRG19" s="10"/>
      <c r="BRH19" s="10"/>
      <c r="BRI19" s="10"/>
      <c r="BRJ19" s="10"/>
      <c r="BRK19" s="10"/>
      <c r="BRL19" s="10"/>
      <c r="BRM19" s="10"/>
      <c r="BRN19" s="10"/>
      <c r="BRO19" s="10"/>
      <c r="BRP19" s="10"/>
      <c r="BRQ19" s="10"/>
      <c r="BRR19" s="10"/>
      <c r="BRS19" s="10"/>
      <c r="BRT19" s="10"/>
      <c r="BRU19" s="10"/>
      <c r="BRV19" s="10"/>
      <c r="BRW19" s="10"/>
      <c r="BRX19" s="10"/>
      <c r="BRY19" s="10"/>
      <c r="BRZ19" s="10"/>
      <c r="BSA19" s="10"/>
      <c r="BSB19" s="10"/>
      <c r="BSC19" s="10"/>
      <c r="BSD19" s="10"/>
      <c r="BSE19" s="10"/>
      <c r="BSF19" s="10"/>
      <c r="BSG19" s="10"/>
      <c r="BSH19" s="10"/>
      <c r="BSI19" s="10"/>
      <c r="BSJ19" s="10"/>
      <c r="BSK19" s="10"/>
      <c r="BSL19" s="10"/>
      <c r="BSM19" s="10"/>
      <c r="BSN19" s="10"/>
      <c r="BSO19" s="10"/>
      <c r="BSP19" s="10"/>
      <c r="BSQ19" s="10"/>
      <c r="BSR19" s="10"/>
      <c r="BSS19" s="10"/>
      <c r="BST19" s="10"/>
      <c r="BSU19" s="10"/>
      <c r="BSV19" s="10"/>
      <c r="BSW19" s="10"/>
      <c r="BSX19" s="10"/>
      <c r="BSY19" s="10"/>
      <c r="BSZ19" s="10"/>
      <c r="BTA19" s="10"/>
      <c r="BTB19" s="10"/>
      <c r="BTC19" s="10"/>
      <c r="BTD19" s="10"/>
      <c r="BTE19" s="10"/>
      <c r="BTF19" s="10"/>
      <c r="BTG19" s="10"/>
      <c r="BTH19" s="10"/>
      <c r="BTI19" s="10"/>
      <c r="BTJ19" s="10"/>
      <c r="BTK19" s="10"/>
      <c r="BTL19" s="10"/>
      <c r="BTM19" s="10"/>
      <c r="BTN19" s="10"/>
      <c r="BTO19" s="10"/>
      <c r="BTP19" s="10"/>
      <c r="BTQ19" s="10"/>
      <c r="BTR19" s="10"/>
      <c r="BTS19" s="10"/>
      <c r="BTT19" s="10"/>
      <c r="BTU19" s="10"/>
      <c r="BTV19" s="10"/>
      <c r="BTW19" s="10"/>
      <c r="BTX19" s="10"/>
      <c r="BTY19" s="10"/>
      <c r="BTZ19" s="10"/>
      <c r="BUA19" s="10"/>
      <c r="BUB19" s="10"/>
      <c r="BUC19" s="10"/>
      <c r="BUD19" s="10"/>
      <c r="BUE19" s="10"/>
      <c r="BUF19" s="10"/>
      <c r="BUG19" s="10"/>
      <c r="BUH19" s="10"/>
      <c r="BUI19" s="10"/>
      <c r="BUJ19" s="10"/>
      <c r="BUK19" s="10"/>
      <c r="BUL19" s="10"/>
      <c r="BUM19" s="10"/>
      <c r="BUN19" s="10"/>
      <c r="BUO19" s="10"/>
      <c r="BUP19" s="10"/>
      <c r="BUQ19" s="10"/>
      <c r="BUR19" s="10"/>
      <c r="BUS19" s="10"/>
      <c r="BUT19" s="10"/>
      <c r="BUU19" s="10"/>
      <c r="BUV19" s="10"/>
      <c r="BUW19" s="10"/>
      <c r="BUX19" s="10"/>
      <c r="BUY19" s="10"/>
      <c r="BUZ19" s="10"/>
      <c r="BVA19" s="10"/>
      <c r="BVB19" s="10"/>
      <c r="BVC19" s="10"/>
      <c r="BVD19" s="10"/>
      <c r="BVE19" s="10"/>
      <c r="BVF19" s="10"/>
      <c r="BVG19" s="10"/>
      <c r="BVH19" s="10"/>
      <c r="BVI19" s="10"/>
      <c r="BVJ19" s="10"/>
      <c r="BVK19" s="10"/>
      <c r="BVL19" s="10"/>
      <c r="BVM19" s="10"/>
      <c r="BVN19" s="10"/>
      <c r="BVO19" s="10"/>
      <c r="BVP19" s="10"/>
      <c r="BVQ19" s="10"/>
      <c r="BVR19" s="10"/>
      <c r="BVS19" s="10"/>
      <c r="BVT19" s="10"/>
      <c r="BVU19" s="10"/>
      <c r="BVV19" s="10"/>
      <c r="BVW19" s="10"/>
      <c r="BVX19" s="10"/>
      <c r="BVY19" s="10"/>
      <c r="BVZ19" s="10"/>
      <c r="BWA19" s="10"/>
      <c r="BWB19" s="10"/>
      <c r="BWC19" s="10"/>
      <c r="BWD19" s="10"/>
      <c r="BWE19" s="10"/>
      <c r="BWF19" s="10"/>
      <c r="BWG19" s="10"/>
      <c r="BWH19" s="10"/>
      <c r="BWI19" s="10"/>
      <c r="BWJ19" s="10"/>
      <c r="BWK19" s="10"/>
      <c r="BWL19" s="10"/>
      <c r="BWM19" s="10"/>
      <c r="BWN19" s="10"/>
      <c r="BWO19" s="10"/>
      <c r="BWP19" s="10"/>
      <c r="BWQ19" s="10"/>
      <c r="BWR19" s="10"/>
      <c r="BWS19" s="10"/>
      <c r="BWT19" s="10"/>
      <c r="BWU19" s="10"/>
      <c r="BWV19" s="10"/>
      <c r="BWW19" s="10"/>
      <c r="BWX19" s="10"/>
      <c r="BWY19" s="10"/>
      <c r="BWZ19" s="10"/>
      <c r="BXA19" s="10"/>
      <c r="BXB19" s="10"/>
      <c r="BXC19" s="10"/>
      <c r="BXD19" s="10"/>
      <c r="BXE19" s="10"/>
      <c r="BXF19" s="10"/>
      <c r="BXG19" s="10"/>
      <c r="BXH19" s="10"/>
      <c r="BXI19" s="10"/>
      <c r="BXJ19" s="10"/>
      <c r="BXK19" s="10"/>
      <c r="BXL19" s="10"/>
      <c r="BXM19" s="10"/>
      <c r="BXN19" s="10"/>
      <c r="BXO19" s="10"/>
      <c r="BXP19" s="10"/>
      <c r="BXQ19" s="10"/>
      <c r="BXR19" s="10"/>
      <c r="BXS19" s="10"/>
      <c r="BXT19" s="10"/>
      <c r="BXU19" s="10"/>
      <c r="BXV19" s="10"/>
      <c r="BXW19" s="10"/>
      <c r="BXX19" s="10"/>
      <c r="BXY19" s="10"/>
      <c r="BXZ19" s="10"/>
      <c r="BYA19" s="10"/>
      <c r="BYB19" s="10"/>
      <c r="BYC19" s="10"/>
      <c r="BYD19" s="10"/>
      <c r="BYE19" s="10"/>
      <c r="BYF19" s="10"/>
      <c r="BYG19" s="10"/>
      <c r="BYH19" s="10"/>
      <c r="BYI19" s="10"/>
      <c r="BYJ19" s="10"/>
      <c r="BYK19" s="10"/>
      <c r="BYL19" s="10"/>
      <c r="BYM19" s="10"/>
      <c r="BYN19" s="10"/>
      <c r="BYO19" s="10"/>
      <c r="BYP19" s="10"/>
      <c r="BYQ19" s="10"/>
      <c r="BYR19" s="10"/>
      <c r="BYS19" s="10"/>
      <c r="BYT19" s="10"/>
      <c r="BYU19" s="10"/>
      <c r="BYV19" s="10"/>
      <c r="BYW19" s="10"/>
      <c r="BYX19" s="10"/>
      <c r="BYY19" s="10"/>
      <c r="BYZ19" s="10"/>
      <c r="BZA19" s="10"/>
      <c r="BZB19" s="10"/>
      <c r="BZC19" s="10"/>
      <c r="BZD19" s="10"/>
      <c r="BZE19" s="10"/>
      <c r="BZF19" s="10"/>
      <c r="BZG19" s="10"/>
      <c r="BZH19" s="10"/>
      <c r="BZI19" s="10"/>
      <c r="BZJ19" s="10"/>
      <c r="BZK19" s="10"/>
      <c r="BZL19" s="10"/>
      <c r="BZM19" s="10"/>
      <c r="BZN19" s="10"/>
      <c r="BZO19" s="10"/>
      <c r="BZP19" s="10"/>
      <c r="BZQ19" s="10"/>
      <c r="BZR19" s="10"/>
      <c r="BZS19" s="10"/>
      <c r="BZT19" s="10"/>
      <c r="BZU19" s="10"/>
      <c r="BZV19" s="10"/>
      <c r="BZW19" s="10"/>
      <c r="BZX19" s="10"/>
      <c r="BZY19" s="10"/>
      <c r="BZZ19" s="10"/>
      <c r="CAA19" s="10"/>
      <c r="CAB19" s="10"/>
      <c r="CAC19" s="10"/>
      <c r="CAD19" s="10"/>
      <c r="CAE19" s="10"/>
      <c r="CAF19" s="10"/>
      <c r="CAG19" s="10"/>
      <c r="CAH19" s="10"/>
      <c r="CAI19" s="10"/>
      <c r="CAJ19" s="10"/>
      <c r="CAK19" s="10"/>
      <c r="CAL19" s="10"/>
      <c r="CAM19" s="10"/>
      <c r="CAN19" s="10"/>
      <c r="CAO19" s="10"/>
      <c r="CAP19" s="10"/>
      <c r="CAQ19" s="10"/>
      <c r="CAR19" s="10"/>
      <c r="CAS19" s="10"/>
      <c r="CAT19" s="10"/>
      <c r="CAU19" s="10"/>
      <c r="CAV19" s="10"/>
      <c r="CAW19" s="10"/>
      <c r="CAX19" s="10"/>
      <c r="CAY19" s="10"/>
      <c r="CAZ19" s="10"/>
      <c r="CBA19" s="10"/>
      <c r="CBB19" s="10"/>
      <c r="CBC19" s="10"/>
      <c r="CBD19" s="10"/>
      <c r="CBE19" s="10"/>
      <c r="CBF19" s="10"/>
      <c r="CBG19" s="10"/>
      <c r="CBH19" s="10"/>
      <c r="CBI19" s="10"/>
      <c r="CBJ19" s="10"/>
      <c r="CBK19" s="10"/>
      <c r="CBL19" s="10"/>
      <c r="CBM19" s="10"/>
      <c r="CBN19" s="10"/>
      <c r="CBO19" s="10"/>
      <c r="CBP19" s="10"/>
      <c r="CBQ19" s="10"/>
      <c r="CBR19" s="10"/>
      <c r="CBS19" s="10"/>
      <c r="CBT19" s="10"/>
      <c r="CBU19" s="10"/>
      <c r="CBV19" s="10"/>
      <c r="CBW19" s="10"/>
      <c r="CBX19" s="10"/>
      <c r="CBY19" s="10"/>
      <c r="CBZ19" s="10"/>
      <c r="CCA19" s="10"/>
      <c r="CCB19" s="10"/>
      <c r="CCC19" s="10"/>
      <c r="CCD19" s="10"/>
      <c r="CCE19" s="10"/>
      <c r="CCF19" s="10"/>
      <c r="CCG19" s="10"/>
      <c r="CCH19" s="10"/>
      <c r="CCI19" s="10"/>
      <c r="CCJ19" s="10"/>
      <c r="CCK19" s="10"/>
      <c r="CCL19" s="10"/>
      <c r="CCM19" s="10"/>
      <c r="CCN19" s="10"/>
      <c r="CCO19" s="10"/>
      <c r="CCP19" s="10"/>
      <c r="CCQ19" s="10"/>
      <c r="CCR19" s="10"/>
      <c r="CCS19" s="10"/>
      <c r="CCT19" s="10"/>
      <c r="CCU19" s="10"/>
      <c r="CCV19" s="10"/>
      <c r="CCW19" s="10"/>
      <c r="CCX19" s="10"/>
      <c r="CCY19" s="10"/>
      <c r="CCZ19" s="10"/>
      <c r="CDA19" s="10"/>
      <c r="CDB19" s="10"/>
      <c r="CDC19" s="10"/>
      <c r="CDD19" s="10"/>
      <c r="CDE19" s="10"/>
      <c r="CDF19" s="10"/>
      <c r="CDG19" s="10"/>
      <c r="CDH19" s="10"/>
      <c r="CDI19" s="10"/>
      <c r="CDJ19" s="10"/>
      <c r="CDK19" s="10"/>
      <c r="CDL19" s="10"/>
      <c r="CDM19" s="10"/>
      <c r="CDN19" s="10"/>
      <c r="CDO19" s="10"/>
      <c r="CDP19" s="10"/>
      <c r="CDQ19" s="10"/>
      <c r="CDR19" s="10"/>
      <c r="CDS19" s="10"/>
      <c r="CDT19" s="10"/>
      <c r="CDU19" s="10"/>
      <c r="CDV19" s="10"/>
      <c r="CDW19" s="10"/>
      <c r="CDX19" s="10"/>
      <c r="CDY19" s="10"/>
      <c r="CDZ19" s="10"/>
      <c r="CEA19" s="10"/>
      <c r="CEB19" s="10"/>
      <c r="CEC19" s="10"/>
      <c r="CED19" s="10"/>
      <c r="CEE19" s="10"/>
      <c r="CEF19" s="10"/>
      <c r="CEG19" s="10"/>
      <c r="CEH19" s="10"/>
      <c r="CEI19" s="10"/>
      <c r="CEJ19" s="10"/>
      <c r="CEK19" s="10"/>
      <c r="CEL19" s="10"/>
      <c r="CEM19" s="10"/>
      <c r="CEN19" s="10"/>
      <c r="CEO19" s="10"/>
      <c r="CEP19" s="10"/>
      <c r="CEQ19" s="10"/>
      <c r="CER19" s="10"/>
      <c r="CES19" s="10"/>
      <c r="CET19" s="10"/>
      <c r="CEU19" s="10"/>
      <c r="CEV19" s="10"/>
      <c r="CEW19" s="10"/>
      <c r="CEX19" s="10"/>
      <c r="CEY19" s="10"/>
      <c r="CEZ19" s="10"/>
      <c r="CFA19" s="10"/>
      <c r="CFB19" s="10"/>
      <c r="CFC19" s="10"/>
      <c r="CFD19" s="10"/>
      <c r="CFE19" s="10"/>
      <c r="CFF19" s="10"/>
      <c r="CFG19" s="10"/>
      <c r="CFH19" s="10"/>
      <c r="CFI19" s="10"/>
      <c r="CFJ19" s="10"/>
      <c r="CFK19" s="10"/>
      <c r="CFL19" s="10"/>
      <c r="CFM19" s="10"/>
      <c r="CFN19" s="10"/>
      <c r="CFO19" s="10"/>
      <c r="CFP19" s="10"/>
      <c r="CFQ19" s="10"/>
      <c r="CFR19" s="10"/>
      <c r="CFS19" s="10"/>
      <c r="CFT19" s="10"/>
      <c r="CFU19" s="10"/>
      <c r="CFV19" s="10"/>
      <c r="CFW19" s="10"/>
      <c r="CFX19" s="10"/>
      <c r="CFY19" s="10"/>
      <c r="CFZ19" s="10"/>
      <c r="CGA19" s="10"/>
      <c r="CGB19" s="10"/>
      <c r="CGC19" s="10"/>
      <c r="CGD19" s="10"/>
      <c r="CGE19" s="10"/>
      <c r="CGF19" s="10"/>
      <c r="CGG19" s="10"/>
      <c r="CGH19" s="10"/>
      <c r="CGI19" s="10"/>
      <c r="CGJ19" s="10"/>
      <c r="CGK19" s="10"/>
      <c r="CGL19" s="10"/>
      <c r="CGM19" s="10"/>
      <c r="CGN19" s="10"/>
      <c r="CGO19" s="10"/>
      <c r="CGP19" s="10"/>
      <c r="CGQ19" s="10"/>
      <c r="CGR19" s="10"/>
      <c r="CGS19" s="10"/>
      <c r="CGT19" s="10"/>
      <c r="CGU19" s="10"/>
      <c r="CGV19" s="10"/>
      <c r="CGW19" s="10"/>
      <c r="CGX19" s="10"/>
      <c r="CGY19" s="10"/>
      <c r="CGZ19" s="10"/>
      <c r="CHA19" s="10"/>
      <c r="CHB19" s="10"/>
      <c r="CHC19" s="10"/>
      <c r="CHD19" s="10"/>
      <c r="CHE19" s="10"/>
      <c r="CHF19" s="10"/>
      <c r="CHG19" s="10"/>
      <c r="CHH19" s="10"/>
      <c r="CHI19" s="10"/>
      <c r="CHJ19" s="10"/>
      <c r="CHK19" s="10"/>
      <c r="CHL19" s="10"/>
      <c r="CHM19" s="10"/>
      <c r="CHN19" s="10"/>
      <c r="CHO19" s="10"/>
      <c r="CHP19" s="10"/>
      <c r="CHQ19" s="10"/>
      <c r="CHR19" s="10"/>
      <c r="CHS19" s="10"/>
      <c r="CHT19" s="10"/>
      <c r="CHU19" s="10"/>
      <c r="CHV19" s="10"/>
      <c r="CHW19" s="10"/>
      <c r="CHX19" s="10"/>
      <c r="CHY19" s="10"/>
      <c r="CHZ19" s="10"/>
      <c r="CIA19" s="10"/>
      <c r="CIB19" s="10"/>
      <c r="CIC19" s="10"/>
      <c r="CID19" s="10"/>
      <c r="CIE19" s="10"/>
      <c r="CIF19" s="10"/>
      <c r="CIG19" s="10"/>
      <c r="CIH19" s="10"/>
      <c r="CII19" s="10"/>
      <c r="CIJ19" s="10"/>
      <c r="CIK19" s="10"/>
      <c r="CIL19" s="10"/>
      <c r="CIM19" s="10"/>
      <c r="CIN19" s="10"/>
      <c r="CIO19" s="10"/>
      <c r="CIP19" s="10"/>
      <c r="CIQ19" s="10"/>
      <c r="CIR19" s="10"/>
      <c r="CIS19" s="10"/>
      <c r="CIT19" s="10"/>
      <c r="CIU19" s="10"/>
      <c r="CIV19" s="10"/>
      <c r="CIW19" s="10"/>
      <c r="CIX19" s="10"/>
      <c r="CIY19" s="10"/>
      <c r="CIZ19" s="10"/>
      <c r="CJA19" s="10"/>
      <c r="CJB19" s="10"/>
      <c r="CJC19" s="10"/>
      <c r="CJD19" s="10"/>
      <c r="CJE19" s="10"/>
      <c r="CJF19" s="10"/>
      <c r="CJG19" s="10"/>
      <c r="CJH19" s="10"/>
      <c r="CJI19" s="10"/>
      <c r="CJJ19" s="10"/>
      <c r="CJK19" s="10"/>
      <c r="CJL19" s="10"/>
      <c r="CJM19" s="10"/>
      <c r="CJN19" s="10"/>
      <c r="CJO19" s="10"/>
      <c r="CJP19" s="10"/>
      <c r="CJQ19" s="10"/>
      <c r="CJR19" s="10"/>
      <c r="CJS19" s="10"/>
      <c r="CJT19" s="10"/>
      <c r="CJU19" s="10"/>
      <c r="CJV19" s="10"/>
      <c r="CJW19" s="10"/>
      <c r="CJX19" s="10"/>
      <c r="CJY19" s="10"/>
      <c r="CJZ19" s="10"/>
      <c r="CKA19" s="10"/>
      <c r="CKB19" s="10"/>
      <c r="CKC19" s="10"/>
      <c r="CKD19" s="10"/>
      <c r="CKE19" s="10"/>
      <c r="CKF19" s="10"/>
      <c r="CKG19" s="10"/>
      <c r="CKH19" s="10"/>
      <c r="CKI19" s="10"/>
      <c r="CKJ19" s="10"/>
      <c r="CKK19" s="10"/>
      <c r="CKL19" s="10"/>
      <c r="CKM19" s="10"/>
      <c r="CKN19" s="10"/>
      <c r="CKO19" s="10"/>
      <c r="CKP19" s="10"/>
      <c r="CKQ19" s="10"/>
      <c r="CKR19" s="10"/>
      <c r="CKS19" s="10"/>
      <c r="CKT19" s="10"/>
      <c r="CKU19" s="10"/>
      <c r="CKV19" s="10"/>
      <c r="CKW19" s="10"/>
      <c r="CKX19" s="10"/>
      <c r="CKY19" s="10"/>
      <c r="CKZ19" s="10"/>
      <c r="CLA19" s="10"/>
      <c r="CLB19" s="10"/>
      <c r="CLC19" s="10"/>
      <c r="CLD19" s="10"/>
      <c r="CLE19" s="10"/>
      <c r="CLF19" s="10"/>
      <c r="CLG19" s="10"/>
      <c r="CLH19" s="10"/>
      <c r="CLI19" s="10"/>
      <c r="CLJ19" s="10"/>
      <c r="CLK19" s="10"/>
      <c r="CLL19" s="10"/>
      <c r="CLM19" s="10"/>
      <c r="CLN19" s="10"/>
      <c r="CLO19" s="10"/>
      <c r="CLP19" s="10"/>
      <c r="CLQ19" s="10"/>
      <c r="CLR19" s="10"/>
      <c r="CLS19" s="10"/>
      <c r="CLT19" s="10"/>
      <c r="CLU19" s="10"/>
      <c r="CLV19" s="10"/>
      <c r="CLW19" s="10"/>
      <c r="CLX19" s="10"/>
      <c r="CLY19" s="10"/>
      <c r="CLZ19" s="10"/>
      <c r="CMA19" s="10"/>
      <c r="CMB19" s="10"/>
      <c r="CMC19" s="10"/>
      <c r="CMD19" s="10"/>
      <c r="CME19" s="10"/>
      <c r="CMF19" s="10"/>
      <c r="CMG19" s="10"/>
      <c r="CMH19" s="10"/>
      <c r="CMI19" s="10"/>
      <c r="CMJ19" s="10"/>
      <c r="CMK19" s="10"/>
      <c r="CML19" s="10"/>
      <c r="CMM19" s="10"/>
      <c r="CMN19" s="10"/>
      <c r="CMO19" s="10"/>
      <c r="CMP19" s="10"/>
      <c r="CMQ19" s="10"/>
      <c r="CMR19" s="10"/>
      <c r="CMS19" s="10"/>
      <c r="CMT19" s="10"/>
      <c r="CMU19" s="10"/>
      <c r="CMV19" s="10"/>
      <c r="CMW19" s="10"/>
      <c r="CMX19" s="10"/>
      <c r="CMY19" s="10"/>
      <c r="CMZ19" s="10"/>
      <c r="CNA19" s="10"/>
      <c r="CNB19" s="10"/>
      <c r="CNC19" s="10"/>
      <c r="CND19" s="10"/>
      <c r="CNE19" s="10"/>
      <c r="CNF19" s="10"/>
      <c r="CNG19" s="10"/>
      <c r="CNH19" s="10"/>
      <c r="CNI19" s="10"/>
      <c r="CNJ19" s="10"/>
      <c r="CNK19" s="10"/>
      <c r="CNL19" s="10"/>
      <c r="CNM19" s="10"/>
      <c r="CNN19" s="10"/>
      <c r="CNO19" s="10"/>
      <c r="CNP19" s="10"/>
      <c r="CNQ19" s="10"/>
      <c r="CNR19" s="10"/>
      <c r="CNS19" s="10"/>
      <c r="CNT19" s="10"/>
      <c r="CNU19" s="10"/>
      <c r="CNV19" s="10"/>
      <c r="CNW19" s="10"/>
      <c r="CNX19" s="10"/>
      <c r="CNY19" s="10"/>
      <c r="CNZ19" s="10"/>
      <c r="COA19" s="10"/>
      <c r="COB19" s="10"/>
      <c r="COC19" s="10"/>
      <c r="COD19" s="10"/>
      <c r="COE19" s="10"/>
      <c r="COF19" s="10"/>
      <c r="COG19" s="10"/>
      <c r="COH19" s="10"/>
      <c r="COI19" s="10"/>
      <c r="COJ19" s="10"/>
      <c r="COK19" s="10"/>
      <c r="COL19" s="10"/>
      <c r="COM19" s="10"/>
      <c r="CON19" s="10"/>
      <c r="COO19" s="10"/>
      <c r="COP19" s="10"/>
      <c r="COQ19" s="10"/>
      <c r="COR19" s="10"/>
      <c r="COS19" s="10"/>
      <c r="COT19" s="10"/>
      <c r="COU19" s="10"/>
      <c r="COV19" s="10"/>
      <c r="COW19" s="10"/>
      <c r="COX19" s="10"/>
      <c r="COY19" s="10"/>
      <c r="COZ19" s="10"/>
      <c r="CPA19" s="10"/>
      <c r="CPB19" s="10"/>
      <c r="CPC19" s="10"/>
      <c r="CPD19" s="10"/>
      <c r="CPE19" s="10"/>
      <c r="CPF19" s="10"/>
      <c r="CPG19" s="10"/>
      <c r="CPH19" s="10"/>
      <c r="CPI19" s="10"/>
      <c r="CPJ19" s="10"/>
      <c r="CPK19" s="10"/>
      <c r="CPL19" s="10"/>
      <c r="CPM19" s="10"/>
      <c r="CPN19" s="10"/>
      <c r="CPO19" s="10"/>
      <c r="CPP19" s="10"/>
      <c r="CPQ19" s="10"/>
      <c r="CPR19" s="10"/>
      <c r="CPS19" s="10"/>
      <c r="CPT19" s="10"/>
      <c r="CPU19" s="10"/>
      <c r="CPV19" s="10"/>
      <c r="CPW19" s="10"/>
      <c r="CPX19" s="10"/>
      <c r="CPY19" s="10"/>
      <c r="CPZ19" s="10"/>
      <c r="CQA19" s="10"/>
      <c r="CQB19" s="10"/>
      <c r="CQC19" s="10"/>
      <c r="CQD19" s="10"/>
      <c r="CQE19" s="10"/>
      <c r="CQF19" s="10"/>
      <c r="CQG19" s="10"/>
      <c r="CQH19" s="10"/>
      <c r="CQI19" s="10"/>
      <c r="CQJ19" s="10"/>
      <c r="CQK19" s="10"/>
      <c r="CQL19" s="10"/>
      <c r="CQM19" s="10"/>
      <c r="CQN19" s="10"/>
      <c r="CQO19" s="10"/>
      <c r="CQP19" s="10"/>
      <c r="CQQ19" s="10"/>
      <c r="CQR19" s="10"/>
      <c r="CQS19" s="10"/>
      <c r="CQT19" s="10"/>
      <c r="CQU19" s="10"/>
      <c r="CQV19" s="10"/>
      <c r="CQW19" s="10"/>
      <c r="CQX19" s="10"/>
      <c r="CQY19" s="10"/>
      <c r="CQZ19" s="10"/>
      <c r="CRA19" s="10"/>
      <c r="CRB19" s="10"/>
      <c r="CRC19" s="10"/>
      <c r="CRD19" s="10"/>
      <c r="CRE19" s="10"/>
      <c r="CRF19" s="10"/>
      <c r="CRG19" s="10"/>
      <c r="CRH19" s="10"/>
      <c r="CRI19" s="10"/>
      <c r="CRJ19" s="10"/>
      <c r="CRK19" s="10"/>
      <c r="CRL19" s="10"/>
      <c r="CRM19" s="10"/>
      <c r="CRN19" s="10"/>
      <c r="CRO19" s="10"/>
      <c r="CRP19" s="10"/>
      <c r="CRQ19" s="10"/>
      <c r="CRR19" s="10"/>
      <c r="CRS19" s="10"/>
      <c r="CRT19" s="10"/>
      <c r="CRU19" s="10"/>
      <c r="CRV19" s="10"/>
      <c r="CRW19" s="10"/>
      <c r="CRX19" s="10"/>
      <c r="CRY19" s="10"/>
      <c r="CRZ19" s="10"/>
      <c r="CSA19" s="10"/>
      <c r="CSB19" s="10"/>
      <c r="CSC19" s="10"/>
      <c r="CSD19" s="10"/>
      <c r="CSE19" s="10"/>
      <c r="CSF19" s="10"/>
      <c r="CSG19" s="10"/>
      <c r="CSH19" s="10"/>
      <c r="CSI19" s="10"/>
      <c r="CSJ19" s="10"/>
      <c r="CSK19" s="10"/>
      <c r="CSL19" s="10"/>
      <c r="CSM19" s="10"/>
      <c r="CSN19" s="10"/>
      <c r="CSO19" s="10"/>
      <c r="CSP19" s="10"/>
      <c r="CSQ19" s="10"/>
      <c r="CSR19" s="10"/>
      <c r="CSS19" s="10"/>
      <c r="CST19" s="10"/>
      <c r="CSU19" s="10"/>
      <c r="CSV19" s="10"/>
      <c r="CSW19" s="10"/>
      <c r="CSX19" s="10"/>
      <c r="CSY19" s="10"/>
      <c r="CSZ19" s="10"/>
      <c r="CTA19" s="10"/>
      <c r="CTB19" s="10"/>
      <c r="CTC19" s="10"/>
      <c r="CTD19" s="10"/>
      <c r="CTE19" s="10"/>
      <c r="CTF19" s="10"/>
      <c r="CTG19" s="10"/>
      <c r="CTH19" s="10"/>
      <c r="CTI19" s="10"/>
      <c r="CTJ19" s="10"/>
      <c r="CTK19" s="10"/>
      <c r="CTL19" s="10"/>
      <c r="CTM19" s="10"/>
      <c r="CTN19" s="10"/>
      <c r="CTO19" s="10"/>
      <c r="CTP19" s="10"/>
      <c r="CTQ19" s="10"/>
      <c r="CTR19" s="10"/>
      <c r="CTS19" s="10"/>
      <c r="CTT19" s="10"/>
      <c r="CTU19" s="10"/>
      <c r="CTV19" s="10"/>
      <c r="CTW19" s="10"/>
      <c r="CTX19" s="10"/>
      <c r="CTY19" s="10"/>
      <c r="CTZ19" s="10"/>
      <c r="CUA19" s="10"/>
      <c r="CUB19" s="10"/>
      <c r="CUC19" s="10"/>
      <c r="CUD19" s="10"/>
      <c r="CUE19" s="10"/>
      <c r="CUF19" s="10"/>
      <c r="CUG19" s="10"/>
      <c r="CUH19" s="10"/>
      <c r="CUI19" s="10"/>
      <c r="CUJ19" s="10"/>
      <c r="CUK19" s="10"/>
      <c r="CUL19" s="10"/>
      <c r="CUM19" s="10"/>
      <c r="CUN19" s="10"/>
      <c r="CUO19" s="10"/>
      <c r="CUP19" s="10"/>
      <c r="CUQ19" s="10"/>
      <c r="CUR19" s="10"/>
      <c r="CUS19" s="10"/>
      <c r="CUT19" s="10"/>
      <c r="CUU19" s="10"/>
      <c r="CUV19" s="10"/>
      <c r="CUW19" s="10"/>
      <c r="CUX19" s="10"/>
      <c r="CUY19" s="10"/>
      <c r="CUZ19" s="10"/>
      <c r="CVA19" s="10"/>
      <c r="CVB19" s="10"/>
      <c r="CVC19" s="10"/>
      <c r="CVD19" s="10"/>
      <c r="CVE19" s="10"/>
      <c r="CVF19" s="10"/>
      <c r="CVG19" s="10"/>
      <c r="CVH19" s="10"/>
      <c r="CVI19" s="10"/>
      <c r="CVJ19" s="10"/>
      <c r="CVK19" s="10"/>
      <c r="CVL19" s="10"/>
      <c r="CVM19" s="10"/>
      <c r="CVN19" s="10"/>
      <c r="CVO19" s="10"/>
      <c r="CVP19" s="10"/>
      <c r="CVQ19" s="10"/>
      <c r="CVR19" s="10"/>
      <c r="CVS19" s="10"/>
      <c r="CVT19" s="10"/>
      <c r="CVU19" s="10"/>
      <c r="CVV19" s="10"/>
      <c r="CVW19" s="10"/>
      <c r="CVX19" s="10"/>
      <c r="CVY19" s="10"/>
      <c r="CVZ19" s="10"/>
      <c r="CWA19" s="10"/>
      <c r="CWB19" s="10"/>
      <c r="CWC19" s="10"/>
      <c r="CWD19" s="10"/>
      <c r="CWE19" s="10"/>
      <c r="CWF19" s="10"/>
      <c r="CWG19" s="10"/>
      <c r="CWH19" s="10"/>
      <c r="CWI19" s="10"/>
      <c r="CWJ19" s="10"/>
      <c r="CWK19" s="10"/>
      <c r="CWL19" s="10"/>
      <c r="CWM19" s="10"/>
      <c r="CWN19" s="10"/>
      <c r="CWO19" s="10"/>
      <c r="CWP19" s="10"/>
      <c r="CWQ19" s="10"/>
      <c r="CWR19" s="10"/>
      <c r="CWS19" s="10"/>
      <c r="CWT19" s="10"/>
      <c r="CWU19" s="10"/>
      <c r="CWV19" s="10"/>
      <c r="CWW19" s="10"/>
      <c r="CWX19" s="10"/>
      <c r="CWY19" s="10"/>
      <c r="CWZ19" s="10"/>
      <c r="CXA19" s="10"/>
      <c r="CXB19" s="10"/>
      <c r="CXC19" s="10"/>
      <c r="CXD19" s="10"/>
      <c r="CXE19" s="10"/>
      <c r="CXF19" s="10"/>
      <c r="CXG19" s="10"/>
      <c r="CXH19" s="10"/>
      <c r="CXI19" s="10"/>
      <c r="CXJ19" s="10"/>
      <c r="CXK19" s="10"/>
      <c r="CXL19" s="10"/>
      <c r="CXM19" s="10"/>
      <c r="CXN19" s="10"/>
      <c r="CXO19" s="10"/>
      <c r="CXP19" s="10"/>
      <c r="CXQ19" s="10"/>
      <c r="CXR19" s="10"/>
      <c r="CXS19" s="10"/>
      <c r="CXT19" s="10"/>
      <c r="CXU19" s="10"/>
      <c r="CXV19" s="10"/>
      <c r="CXW19" s="10"/>
      <c r="CXX19" s="10"/>
      <c r="CXY19" s="10"/>
      <c r="CXZ19" s="10"/>
      <c r="CYA19" s="10"/>
      <c r="CYB19" s="10"/>
      <c r="CYC19" s="10"/>
      <c r="CYD19" s="10"/>
      <c r="CYE19" s="10"/>
      <c r="CYF19" s="10"/>
      <c r="CYG19" s="10"/>
      <c r="CYH19" s="10"/>
      <c r="CYI19" s="10"/>
      <c r="CYJ19" s="10"/>
      <c r="CYK19" s="10"/>
      <c r="CYL19" s="10"/>
      <c r="CYM19" s="10"/>
      <c r="CYN19" s="10"/>
      <c r="CYO19" s="10"/>
      <c r="CYP19" s="10"/>
      <c r="CYQ19" s="10"/>
      <c r="CYR19" s="10"/>
      <c r="CYS19" s="10"/>
      <c r="CYT19" s="10"/>
      <c r="CYU19" s="10"/>
      <c r="CYV19" s="10"/>
      <c r="CYW19" s="10"/>
      <c r="CYX19" s="10"/>
      <c r="CYY19" s="10"/>
      <c r="CYZ19" s="10"/>
      <c r="CZA19" s="10"/>
      <c r="CZB19" s="10"/>
      <c r="CZC19" s="10"/>
      <c r="CZD19" s="10"/>
      <c r="CZE19" s="10"/>
      <c r="CZF19" s="10"/>
      <c r="CZG19" s="10"/>
      <c r="CZH19" s="10"/>
      <c r="CZI19" s="10"/>
      <c r="CZJ19" s="10"/>
      <c r="CZK19" s="10"/>
      <c r="CZL19" s="10"/>
      <c r="CZM19" s="10"/>
      <c r="CZN19" s="10"/>
      <c r="CZO19" s="10"/>
      <c r="CZP19" s="10"/>
      <c r="CZQ19" s="10"/>
      <c r="CZR19" s="10"/>
      <c r="CZS19" s="10"/>
      <c r="CZT19" s="10"/>
      <c r="CZU19" s="10"/>
      <c r="CZV19" s="10"/>
      <c r="CZW19" s="10"/>
      <c r="CZX19" s="10"/>
      <c r="CZY19" s="10"/>
      <c r="CZZ19" s="10"/>
      <c r="DAA19" s="10"/>
      <c r="DAB19" s="10"/>
      <c r="DAC19" s="10"/>
      <c r="DAD19" s="10"/>
      <c r="DAE19" s="10"/>
      <c r="DAF19" s="10"/>
      <c r="DAG19" s="10"/>
      <c r="DAH19" s="10"/>
      <c r="DAI19" s="10"/>
      <c r="DAJ19" s="10"/>
      <c r="DAK19" s="10"/>
      <c r="DAL19" s="10"/>
      <c r="DAM19" s="10"/>
      <c r="DAN19" s="10"/>
      <c r="DAO19" s="10"/>
      <c r="DAP19" s="10"/>
      <c r="DAQ19" s="10"/>
      <c r="DAR19" s="10"/>
      <c r="DAS19" s="10"/>
      <c r="DAT19" s="10"/>
      <c r="DAU19" s="10"/>
      <c r="DAV19" s="10"/>
      <c r="DAW19" s="10"/>
      <c r="DAX19" s="10"/>
      <c r="DAY19" s="10"/>
      <c r="DAZ19" s="10"/>
      <c r="DBA19" s="10"/>
      <c r="DBB19" s="10"/>
      <c r="DBC19" s="10"/>
      <c r="DBD19" s="10"/>
      <c r="DBE19" s="10"/>
      <c r="DBF19" s="10"/>
      <c r="DBG19" s="10"/>
      <c r="DBH19" s="10"/>
      <c r="DBI19" s="10"/>
      <c r="DBJ19" s="10"/>
      <c r="DBK19" s="10"/>
      <c r="DBL19" s="10"/>
      <c r="DBM19" s="10"/>
      <c r="DBN19" s="10"/>
      <c r="DBO19" s="10"/>
      <c r="DBP19" s="10"/>
      <c r="DBQ19" s="10"/>
      <c r="DBR19" s="10"/>
      <c r="DBS19" s="10"/>
      <c r="DBT19" s="10"/>
      <c r="DBU19" s="10"/>
      <c r="DBV19" s="10"/>
      <c r="DBW19" s="10"/>
      <c r="DBX19" s="10"/>
      <c r="DBY19" s="10"/>
      <c r="DBZ19" s="10"/>
      <c r="DCA19" s="10"/>
      <c r="DCB19" s="10"/>
      <c r="DCC19" s="10"/>
      <c r="DCD19" s="10"/>
      <c r="DCE19" s="10"/>
      <c r="DCF19" s="10"/>
      <c r="DCG19" s="10"/>
      <c r="DCH19" s="10"/>
      <c r="DCI19" s="10"/>
      <c r="DCJ19" s="10"/>
      <c r="DCK19" s="10"/>
      <c r="DCL19" s="10"/>
      <c r="DCM19" s="10"/>
      <c r="DCN19" s="10"/>
      <c r="DCO19" s="10"/>
      <c r="DCP19" s="10"/>
      <c r="DCQ19" s="10"/>
      <c r="DCR19" s="10"/>
      <c r="DCS19" s="10"/>
      <c r="DCT19" s="10"/>
      <c r="DCU19" s="10"/>
      <c r="DCV19" s="10"/>
      <c r="DCW19" s="10"/>
      <c r="DCX19" s="10"/>
      <c r="DCY19" s="10"/>
      <c r="DCZ19" s="10"/>
      <c r="DDA19" s="10"/>
      <c r="DDB19" s="10"/>
      <c r="DDC19" s="10"/>
      <c r="DDD19" s="10"/>
      <c r="DDE19" s="10"/>
      <c r="DDF19" s="10"/>
      <c r="DDG19" s="10"/>
      <c r="DDH19" s="10"/>
      <c r="DDI19" s="10"/>
      <c r="DDJ19" s="10"/>
      <c r="DDK19" s="10"/>
      <c r="DDL19" s="10"/>
      <c r="DDM19" s="10"/>
      <c r="DDN19" s="10"/>
      <c r="DDO19" s="10"/>
      <c r="DDP19" s="10"/>
      <c r="DDQ19" s="10"/>
      <c r="DDR19" s="10"/>
      <c r="DDS19" s="10"/>
      <c r="DDT19" s="10"/>
      <c r="DDU19" s="10"/>
      <c r="DDV19" s="10"/>
      <c r="DDW19" s="10"/>
      <c r="DDX19" s="10"/>
      <c r="DDY19" s="10"/>
      <c r="DDZ19" s="10"/>
      <c r="DEA19" s="10"/>
      <c r="DEB19" s="10"/>
      <c r="DEC19" s="10"/>
      <c r="DED19" s="10"/>
      <c r="DEE19" s="10"/>
      <c r="DEF19" s="10"/>
      <c r="DEG19" s="10"/>
      <c r="DEH19" s="10"/>
      <c r="DEI19" s="10"/>
      <c r="DEJ19" s="10"/>
      <c r="DEK19" s="10"/>
      <c r="DEL19" s="10"/>
      <c r="DEM19" s="10"/>
      <c r="DEN19" s="10"/>
      <c r="DEO19" s="10"/>
      <c r="DEP19" s="10"/>
      <c r="DEQ19" s="10"/>
      <c r="DER19" s="10"/>
      <c r="DES19" s="10"/>
      <c r="DET19" s="10"/>
      <c r="DEU19" s="10"/>
      <c r="DEV19" s="10"/>
      <c r="DEW19" s="10"/>
      <c r="DEX19" s="10"/>
      <c r="DEY19" s="10"/>
      <c r="DEZ19" s="10"/>
      <c r="DFA19" s="10"/>
      <c r="DFB19" s="10"/>
      <c r="DFC19" s="10"/>
      <c r="DFD19" s="10"/>
      <c r="DFE19" s="10"/>
      <c r="DFF19" s="10"/>
      <c r="DFG19" s="10"/>
      <c r="DFH19" s="10"/>
      <c r="DFI19" s="10"/>
      <c r="DFJ19" s="10"/>
      <c r="DFK19" s="10"/>
      <c r="DFL19" s="10"/>
      <c r="DFM19" s="10"/>
      <c r="DFN19" s="10"/>
      <c r="DFO19" s="10"/>
      <c r="DFP19" s="10"/>
      <c r="DFQ19" s="10"/>
      <c r="DFR19" s="10"/>
      <c r="DFS19" s="10"/>
      <c r="DFT19" s="10"/>
      <c r="DFU19" s="10"/>
      <c r="DFV19" s="10"/>
      <c r="DFW19" s="10"/>
      <c r="DFX19" s="10"/>
      <c r="DFY19" s="10"/>
      <c r="DFZ19" s="10"/>
      <c r="DGA19" s="10"/>
      <c r="DGB19" s="10"/>
      <c r="DGC19" s="10"/>
      <c r="DGD19" s="10"/>
      <c r="DGE19" s="10"/>
      <c r="DGF19" s="10"/>
      <c r="DGG19" s="10"/>
      <c r="DGH19" s="10"/>
      <c r="DGI19" s="10"/>
      <c r="DGJ19" s="10"/>
      <c r="DGK19" s="10"/>
      <c r="DGL19" s="10"/>
      <c r="DGM19" s="10"/>
      <c r="DGN19" s="10"/>
      <c r="DGO19" s="10"/>
      <c r="DGP19" s="10"/>
      <c r="DGQ19" s="10"/>
      <c r="DGR19" s="10"/>
      <c r="DGS19" s="10"/>
      <c r="DGT19" s="10"/>
      <c r="DGU19" s="10"/>
      <c r="DGV19" s="10"/>
      <c r="DGW19" s="10"/>
      <c r="DGX19" s="10"/>
      <c r="DGY19" s="10"/>
      <c r="DGZ19" s="10"/>
      <c r="DHA19" s="10"/>
      <c r="DHB19" s="10"/>
      <c r="DHC19" s="10"/>
      <c r="DHD19" s="10"/>
      <c r="DHE19" s="10"/>
      <c r="DHF19" s="10"/>
      <c r="DHG19" s="10"/>
      <c r="DHH19" s="10"/>
      <c r="DHI19" s="10"/>
      <c r="DHJ19" s="10"/>
      <c r="DHK19" s="10"/>
      <c r="DHL19" s="10"/>
      <c r="DHM19" s="10"/>
      <c r="DHN19" s="10"/>
      <c r="DHO19" s="10"/>
      <c r="DHP19" s="10"/>
      <c r="DHQ19" s="10"/>
      <c r="DHR19" s="10"/>
      <c r="DHS19" s="10"/>
      <c r="DHT19" s="10"/>
      <c r="DHU19" s="10"/>
      <c r="DHV19" s="10"/>
      <c r="DHW19" s="10"/>
      <c r="DHX19" s="10"/>
      <c r="DHY19" s="10"/>
      <c r="DHZ19" s="10"/>
      <c r="DIA19" s="10"/>
      <c r="DIB19" s="10"/>
      <c r="DIC19" s="10"/>
      <c r="DID19" s="10"/>
      <c r="DIE19" s="10"/>
      <c r="DIF19" s="10"/>
      <c r="DIG19" s="10"/>
      <c r="DIH19" s="10"/>
      <c r="DII19" s="10"/>
      <c r="DIJ19" s="10"/>
      <c r="DIK19" s="10"/>
      <c r="DIL19" s="10"/>
      <c r="DIM19" s="10"/>
      <c r="DIN19" s="10"/>
      <c r="DIO19" s="10"/>
      <c r="DIP19" s="10"/>
      <c r="DIQ19" s="10"/>
      <c r="DIR19" s="10"/>
      <c r="DIS19" s="10"/>
      <c r="DIT19" s="10"/>
      <c r="DIU19" s="10"/>
      <c r="DIV19" s="10"/>
      <c r="DIW19" s="10"/>
      <c r="DIX19" s="10"/>
      <c r="DIY19" s="10"/>
      <c r="DIZ19" s="10"/>
      <c r="DJA19" s="10"/>
      <c r="DJB19" s="10"/>
      <c r="DJC19" s="10"/>
      <c r="DJD19" s="10"/>
      <c r="DJE19" s="10"/>
      <c r="DJF19" s="10"/>
      <c r="DJG19" s="10"/>
      <c r="DJH19" s="10"/>
      <c r="DJI19" s="10"/>
      <c r="DJJ19" s="10"/>
      <c r="DJK19" s="10"/>
      <c r="DJL19" s="10"/>
      <c r="DJM19" s="10"/>
      <c r="DJN19" s="10"/>
      <c r="DJO19" s="10"/>
      <c r="DJP19" s="10"/>
      <c r="DJQ19" s="10"/>
      <c r="DJR19" s="10"/>
      <c r="DJS19" s="10"/>
      <c r="DJT19" s="10"/>
      <c r="DJU19" s="10"/>
      <c r="DJV19" s="10"/>
      <c r="DJW19" s="10"/>
      <c r="DJX19" s="10"/>
      <c r="DJY19" s="10"/>
      <c r="DJZ19" s="10"/>
      <c r="DKA19" s="10"/>
      <c r="DKB19" s="10"/>
      <c r="DKC19" s="10"/>
      <c r="DKD19" s="10"/>
      <c r="DKE19" s="10"/>
      <c r="DKF19" s="10"/>
      <c r="DKG19" s="10"/>
      <c r="DKH19" s="10"/>
      <c r="DKI19" s="10"/>
      <c r="DKJ19" s="10"/>
      <c r="DKK19" s="10"/>
      <c r="DKL19" s="10"/>
      <c r="DKM19" s="10"/>
      <c r="DKN19" s="10"/>
      <c r="DKO19" s="10"/>
      <c r="DKP19" s="10"/>
      <c r="DKQ19" s="10"/>
      <c r="DKR19" s="10"/>
      <c r="DKS19" s="10"/>
      <c r="DKT19" s="10"/>
      <c r="DKU19" s="10"/>
      <c r="DKV19" s="10"/>
      <c r="DKW19" s="10"/>
      <c r="DKX19" s="10"/>
      <c r="DKY19" s="10"/>
      <c r="DKZ19" s="10"/>
      <c r="DLA19" s="10"/>
      <c r="DLB19" s="10"/>
      <c r="DLC19" s="10"/>
      <c r="DLD19" s="10"/>
      <c r="DLE19" s="10"/>
      <c r="DLF19" s="10"/>
      <c r="DLG19" s="10"/>
      <c r="DLH19" s="10"/>
      <c r="DLI19" s="10"/>
      <c r="DLJ19" s="10"/>
      <c r="DLK19" s="10"/>
      <c r="DLL19" s="10"/>
      <c r="DLM19" s="10"/>
      <c r="DLN19" s="10"/>
      <c r="DLO19" s="10"/>
      <c r="DLP19" s="10"/>
      <c r="DLQ19" s="10"/>
      <c r="DLR19" s="10"/>
      <c r="DLS19" s="10"/>
      <c r="DLT19" s="10"/>
      <c r="DLU19" s="10"/>
      <c r="DLV19" s="10"/>
      <c r="DLW19" s="10"/>
      <c r="DLX19" s="10"/>
      <c r="DLY19" s="10"/>
      <c r="DLZ19" s="10"/>
      <c r="DMA19" s="10"/>
      <c r="DMB19" s="10"/>
      <c r="DMC19" s="10"/>
      <c r="DMD19" s="10"/>
      <c r="DME19" s="10"/>
      <c r="DMF19" s="10"/>
      <c r="DMG19" s="10"/>
      <c r="DMH19" s="10"/>
      <c r="DMI19" s="10"/>
      <c r="DMJ19" s="10"/>
      <c r="DMK19" s="10"/>
      <c r="DML19" s="10"/>
      <c r="DMM19" s="10"/>
      <c r="DMN19" s="10"/>
      <c r="DMO19" s="10"/>
      <c r="DMP19" s="10"/>
      <c r="DMQ19" s="10"/>
      <c r="DMR19" s="10"/>
      <c r="DMS19" s="10"/>
      <c r="DMT19" s="10"/>
      <c r="DMU19" s="10"/>
      <c r="DMV19" s="10"/>
      <c r="DMW19" s="10"/>
      <c r="DMX19" s="10"/>
      <c r="DMY19" s="10"/>
      <c r="DMZ19" s="10"/>
      <c r="DNA19" s="10"/>
      <c r="DNB19" s="10"/>
      <c r="DNC19" s="10"/>
      <c r="DND19" s="10"/>
      <c r="DNE19" s="10"/>
      <c r="DNF19" s="10"/>
      <c r="DNG19" s="10"/>
      <c r="DNH19" s="10"/>
      <c r="DNI19" s="10"/>
      <c r="DNJ19" s="10"/>
      <c r="DNK19" s="10"/>
      <c r="DNL19" s="10"/>
      <c r="DNM19" s="10"/>
      <c r="DNN19" s="10"/>
      <c r="DNO19" s="10"/>
      <c r="DNP19" s="10"/>
      <c r="DNQ19" s="10"/>
      <c r="DNR19" s="10"/>
      <c r="DNS19" s="10"/>
      <c r="DNT19" s="10"/>
      <c r="DNU19" s="10"/>
      <c r="DNV19" s="10"/>
      <c r="DNW19" s="10"/>
      <c r="DNX19" s="10"/>
      <c r="DNY19" s="10"/>
      <c r="DNZ19" s="10"/>
      <c r="DOA19" s="10"/>
      <c r="DOB19" s="10"/>
      <c r="DOC19" s="10"/>
      <c r="DOD19" s="10"/>
      <c r="DOE19" s="10"/>
      <c r="DOF19" s="10"/>
      <c r="DOG19" s="10"/>
      <c r="DOH19" s="10"/>
      <c r="DOI19" s="10"/>
      <c r="DOJ19" s="10"/>
      <c r="DOK19" s="10"/>
      <c r="DOL19" s="10"/>
      <c r="DOM19" s="10"/>
      <c r="DON19" s="10"/>
      <c r="DOO19" s="10"/>
      <c r="DOP19" s="10"/>
      <c r="DOQ19" s="10"/>
      <c r="DOR19" s="10"/>
      <c r="DOS19" s="10"/>
      <c r="DOT19" s="10"/>
      <c r="DOU19" s="10"/>
      <c r="DOV19" s="10"/>
      <c r="DOW19" s="10"/>
      <c r="DOX19" s="10"/>
      <c r="DOY19" s="10"/>
      <c r="DOZ19" s="10"/>
      <c r="DPA19" s="10"/>
      <c r="DPB19" s="10"/>
      <c r="DPC19" s="10"/>
      <c r="DPD19" s="10"/>
      <c r="DPE19" s="10"/>
      <c r="DPF19" s="10"/>
      <c r="DPG19" s="10"/>
      <c r="DPH19" s="10"/>
      <c r="DPI19" s="10"/>
      <c r="DPJ19" s="10"/>
      <c r="DPK19" s="10"/>
      <c r="DPL19" s="10"/>
      <c r="DPM19" s="10"/>
      <c r="DPN19" s="10"/>
      <c r="DPO19" s="10"/>
      <c r="DPP19" s="10"/>
      <c r="DPQ19" s="10"/>
      <c r="DPR19" s="10"/>
      <c r="DPS19" s="10"/>
      <c r="DPT19" s="10"/>
      <c r="DPU19" s="10"/>
      <c r="DPV19" s="10"/>
      <c r="DPW19" s="10"/>
      <c r="DPX19" s="10"/>
      <c r="DPY19" s="10"/>
      <c r="DPZ19" s="10"/>
      <c r="DQA19" s="10"/>
      <c r="DQB19" s="10"/>
      <c r="DQC19" s="10"/>
      <c r="DQD19" s="10"/>
      <c r="DQE19" s="10"/>
      <c r="DQF19" s="10"/>
      <c r="DQG19" s="10"/>
      <c r="DQH19" s="10"/>
      <c r="DQI19" s="10"/>
      <c r="DQJ19" s="10"/>
      <c r="DQK19" s="10"/>
      <c r="DQL19" s="10"/>
      <c r="DQM19" s="10"/>
      <c r="DQN19" s="10"/>
      <c r="DQO19" s="10"/>
      <c r="DQP19" s="10"/>
      <c r="DQQ19" s="10"/>
      <c r="DQR19" s="10"/>
      <c r="DQS19" s="10"/>
      <c r="DQT19" s="10"/>
      <c r="DQU19" s="10"/>
      <c r="DQV19" s="10"/>
      <c r="DQW19" s="10"/>
      <c r="DQX19" s="10"/>
      <c r="DQY19" s="10"/>
      <c r="DQZ19" s="10"/>
      <c r="DRA19" s="10"/>
      <c r="DRB19" s="10"/>
      <c r="DRC19" s="10"/>
      <c r="DRD19" s="10"/>
      <c r="DRE19" s="10"/>
      <c r="DRF19" s="10"/>
      <c r="DRG19" s="10"/>
      <c r="DRH19" s="10"/>
      <c r="DRI19" s="10"/>
      <c r="DRJ19" s="10"/>
      <c r="DRK19" s="10"/>
      <c r="DRL19" s="10"/>
      <c r="DRM19" s="10"/>
      <c r="DRN19" s="10"/>
      <c r="DRO19" s="10"/>
      <c r="DRP19" s="10"/>
      <c r="DRQ19" s="10"/>
      <c r="DRR19" s="10"/>
      <c r="DRS19" s="10"/>
      <c r="DRT19" s="10"/>
      <c r="DRU19" s="10"/>
      <c r="DRV19" s="10"/>
      <c r="DRW19" s="10"/>
      <c r="DRX19" s="10"/>
      <c r="DRY19" s="10"/>
      <c r="DRZ19" s="10"/>
      <c r="DSA19" s="10"/>
      <c r="DSB19" s="10"/>
      <c r="DSC19" s="10"/>
      <c r="DSD19" s="10"/>
      <c r="DSE19" s="10"/>
      <c r="DSF19" s="10"/>
      <c r="DSG19" s="10"/>
      <c r="DSH19" s="10"/>
      <c r="DSI19" s="10"/>
      <c r="DSJ19" s="10"/>
      <c r="DSK19" s="10"/>
      <c r="DSL19" s="10"/>
      <c r="DSM19" s="10"/>
      <c r="DSN19" s="10"/>
      <c r="DSO19" s="10"/>
      <c r="DSP19" s="10"/>
      <c r="DSQ19" s="10"/>
      <c r="DSR19" s="10"/>
      <c r="DSS19" s="10"/>
      <c r="DST19" s="10"/>
      <c r="DSU19" s="10"/>
      <c r="DSV19" s="10"/>
      <c r="DSW19" s="10"/>
      <c r="DSX19" s="10"/>
      <c r="DSY19" s="10"/>
      <c r="DSZ19" s="10"/>
      <c r="DTA19" s="10"/>
      <c r="DTB19" s="10"/>
      <c r="DTC19" s="10"/>
      <c r="DTD19" s="10"/>
      <c r="DTE19" s="10"/>
      <c r="DTF19" s="10"/>
      <c r="DTG19" s="10"/>
      <c r="DTH19" s="10"/>
      <c r="DTI19" s="10"/>
      <c r="DTJ19" s="10"/>
      <c r="DTK19" s="10"/>
      <c r="DTL19" s="10"/>
      <c r="DTM19" s="10"/>
      <c r="DTN19" s="10"/>
      <c r="DTO19" s="10"/>
      <c r="DTP19" s="10"/>
      <c r="DTQ19" s="10"/>
      <c r="DTR19" s="10"/>
      <c r="DTS19" s="10"/>
      <c r="DTT19" s="10"/>
      <c r="DTU19" s="10"/>
      <c r="DTV19" s="10"/>
      <c r="DTW19" s="10"/>
      <c r="DTX19" s="10"/>
      <c r="DTY19" s="10"/>
      <c r="DTZ19" s="10"/>
      <c r="DUA19" s="10"/>
      <c r="DUB19" s="10"/>
      <c r="DUC19" s="10"/>
      <c r="DUD19" s="10"/>
      <c r="DUE19" s="10"/>
      <c r="DUF19" s="10"/>
      <c r="DUG19" s="10"/>
      <c r="DUH19" s="10"/>
      <c r="DUI19" s="10"/>
      <c r="DUJ19" s="10"/>
      <c r="DUK19" s="10"/>
      <c r="DUL19" s="10"/>
      <c r="DUM19" s="10"/>
      <c r="DUN19" s="10"/>
      <c r="DUO19" s="10"/>
      <c r="DUP19" s="10"/>
      <c r="DUQ19" s="10"/>
      <c r="DUR19" s="10"/>
      <c r="DUS19" s="10"/>
      <c r="DUT19" s="10"/>
      <c r="DUU19" s="10"/>
      <c r="DUV19" s="10"/>
      <c r="DUW19" s="10"/>
      <c r="DUX19" s="10"/>
      <c r="DUY19" s="10"/>
      <c r="DUZ19" s="10"/>
      <c r="DVA19" s="10"/>
      <c r="DVB19" s="10"/>
      <c r="DVC19" s="10"/>
      <c r="DVD19" s="10"/>
      <c r="DVE19" s="10"/>
      <c r="DVF19" s="10"/>
      <c r="DVG19" s="10"/>
      <c r="DVH19" s="10"/>
      <c r="DVI19" s="10"/>
      <c r="DVJ19" s="10"/>
      <c r="DVK19" s="10"/>
      <c r="DVL19" s="10"/>
      <c r="DVM19" s="10"/>
      <c r="DVN19" s="10"/>
      <c r="DVO19" s="10"/>
      <c r="DVP19" s="10"/>
      <c r="DVQ19" s="10"/>
      <c r="DVR19" s="10"/>
      <c r="DVS19" s="10"/>
      <c r="DVT19" s="10"/>
      <c r="DVU19" s="10"/>
      <c r="DVV19" s="10"/>
      <c r="DVW19" s="10"/>
      <c r="DVX19" s="10"/>
      <c r="DVY19" s="10"/>
      <c r="DVZ19" s="10"/>
      <c r="DWA19" s="10"/>
      <c r="DWB19" s="10"/>
      <c r="DWC19" s="10"/>
      <c r="DWD19" s="10"/>
      <c r="DWE19" s="10"/>
      <c r="DWF19" s="10"/>
      <c r="DWG19" s="10"/>
      <c r="DWH19" s="10"/>
      <c r="DWI19" s="10"/>
      <c r="DWJ19" s="10"/>
      <c r="DWK19" s="10"/>
      <c r="DWL19" s="10"/>
      <c r="DWM19" s="10"/>
      <c r="DWN19" s="10"/>
      <c r="DWO19" s="10"/>
      <c r="DWP19" s="10"/>
      <c r="DWQ19" s="10"/>
      <c r="DWR19" s="10"/>
      <c r="DWS19" s="10"/>
      <c r="DWT19" s="10"/>
      <c r="DWU19" s="10"/>
      <c r="DWV19" s="10"/>
      <c r="DWW19" s="10"/>
      <c r="DWX19" s="10"/>
      <c r="DWY19" s="10"/>
      <c r="DWZ19" s="10"/>
      <c r="DXA19" s="10"/>
      <c r="DXB19" s="10"/>
      <c r="DXC19" s="10"/>
      <c r="DXD19" s="10"/>
      <c r="DXE19" s="10"/>
      <c r="DXF19" s="10"/>
      <c r="DXG19" s="10"/>
      <c r="DXH19" s="10"/>
      <c r="DXI19" s="10"/>
      <c r="DXJ19" s="10"/>
      <c r="DXK19" s="10"/>
      <c r="DXL19" s="10"/>
      <c r="DXM19" s="10"/>
      <c r="DXN19" s="10"/>
      <c r="DXO19" s="10"/>
      <c r="DXP19" s="10"/>
      <c r="DXQ19" s="10"/>
      <c r="DXR19" s="10"/>
      <c r="DXS19" s="10"/>
      <c r="DXT19" s="10"/>
      <c r="DXU19" s="10"/>
      <c r="DXV19" s="10"/>
      <c r="DXW19" s="10"/>
      <c r="DXX19" s="10"/>
      <c r="DXY19" s="10"/>
      <c r="DXZ19" s="10"/>
      <c r="DYA19" s="10"/>
      <c r="DYB19" s="10"/>
      <c r="DYC19" s="10"/>
      <c r="DYD19" s="10"/>
      <c r="DYE19" s="10"/>
      <c r="DYF19" s="10"/>
      <c r="DYG19" s="10"/>
      <c r="DYH19" s="10"/>
      <c r="DYI19" s="10"/>
      <c r="DYJ19" s="10"/>
      <c r="DYK19" s="10"/>
      <c r="DYL19" s="10"/>
      <c r="DYM19" s="10"/>
      <c r="DYN19" s="10"/>
      <c r="DYO19" s="10"/>
      <c r="DYP19" s="10"/>
      <c r="DYQ19" s="10"/>
      <c r="DYR19" s="10"/>
      <c r="DYS19" s="10"/>
      <c r="DYT19" s="10"/>
      <c r="DYU19" s="10"/>
      <c r="DYV19" s="10"/>
      <c r="DYW19" s="10"/>
      <c r="DYX19" s="10"/>
      <c r="DYY19" s="10"/>
      <c r="DYZ19" s="10"/>
      <c r="DZA19" s="10"/>
      <c r="DZB19" s="10"/>
      <c r="DZC19" s="10"/>
      <c r="DZD19" s="10"/>
      <c r="DZE19" s="10"/>
      <c r="DZF19" s="10"/>
      <c r="DZG19" s="10"/>
      <c r="DZH19" s="10"/>
      <c r="DZI19" s="10"/>
      <c r="DZJ19" s="10"/>
      <c r="DZK19" s="10"/>
      <c r="DZL19" s="10"/>
      <c r="DZM19" s="10"/>
      <c r="DZN19" s="10"/>
      <c r="DZO19" s="10"/>
      <c r="DZP19" s="10"/>
      <c r="DZQ19" s="10"/>
      <c r="DZR19" s="10"/>
      <c r="DZS19" s="10"/>
      <c r="DZT19" s="10"/>
      <c r="DZU19" s="10"/>
      <c r="DZV19" s="10"/>
      <c r="DZW19" s="10"/>
      <c r="DZX19" s="10"/>
      <c r="DZY19" s="10"/>
      <c r="DZZ19" s="10"/>
      <c r="EAA19" s="10"/>
      <c r="EAB19" s="10"/>
      <c r="EAC19" s="10"/>
      <c r="EAD19" s="10"/>
      <c r="EAE19" s="10"/>
      <c r="EAF19" s="10"/>
      <c r="EAG19" s="10"/>
      <c r="EAH19" s="10"/>
      <c r="EAI19" s="10"/>
      <c r="EAJ19" s="10"/>
      <c r="EAK19" s="10"/>
      <c r="EAL19" s="10"/>
      <c r="EAM19" s="10"/>
      <c r="EAN19" s="10"/>
      <c r="EAO19" s="10"/>
      <c r="EAP19" s="10"/>
      <c r="EAQ19" s="10"/>
      <c r="EAR19" s="10"/>
      <c r="EAS19" s="10"/>
      <c r="EAT19" s="10"/>
      <c r="EAU19" s="10"/>
      <c r="EAV19" s="10"/>
      <c r="EAW19" s="10"/>
      <c r="EAX19" s="10"/>
      <c r="EAY19" s="10"/>
      <c r="EAZ19" s="10"/>
      <c r="EBA19" s="10"/>
      <c r="EBB19" s="10"/>
      <c r="EBC19" s="10"/>
      <c r="EBD19" s="10"/>
      <c r="EBE19" s="10"/>
      <c r="EBF19" s="10"/>
      <c r="EBG19" s="10"/>
      <c r="EBH19" s="10"/>
      <c r="EBI19" s="10"/>
      <c r="EBJ19" s="10"/>
      <c r="EBK19" s="10"/>
      <c r="EBL19" s="10"/>
      <c r="EBM19" s="10"/>
      <c r="EBN19" s="10"/>
      <c r="EBO19" s="10"/>
      <c r="EBP19" s="10"/>
      <c r="EBQ19" s="10"/>
      <c r="EBR19" s="10"/>
      <c r="EBS19" s="10"/>
      <c r="EBT19" s="10"/>
      <c r="EBU19" s="10"/>
      <c r="EBV19" s="10"/>
      <c r="EBW19" s="10"/>
      <c r="EBX19" s="10"/>
      <c r="EBY19" s="10"/>
      <c r="EBZ19" s="10"/>
      <c r="ECA19" s="10"/>
      <c r="ECB19" s="10"/>
      <c r="ECC19" s="10"/>
      <c r="ECD19" s="10"/>
      <c r="ECE19" s="10"/>
      <c r="ECF19" s="10"/>
      <c r="ECG19" s="10"/>
      <c r="ECH19" s="10"/>
      <c r="ECI19" s="10"/>
      <c r="ECJ19" s="10"/>
      <c r="ECK19" s="10"/>
      <c r="ECL19" s="10"/>
      <c r="ECM19" s="10"/>
      <c r="ECN19" s="10"/>
      <c r="ECO19" s="10"/>
      <c r="ECP19" s="10"/>
      <c r="ECQ19" s="10"/>
      <c r="ECR19" s="10"/>
      <c r="ECS19" s="10"/>
      <c r="ECT19" s="10"/>
      <c r="ECU19" s="10"/>
      <c r="ECV19" s="10"/>
      <c r="ECW19" s="10"/>
      <c r="ECX19" s="10"/>
      <c r="ECY19" s="10"/>
      <c r="ECZ19" s="10"/>
      <c r="EDA19" s="10"/>
      <c r="EDB19" s="10"/>
      <c r="EDC19" s="10"/>
      <c r="EDD19" s="10"/>
      <c r="EDE19" s="10"/>
      <c r="EDF19" s="10"/>
      <c r="EDG19" s="10"/>
      <c r="EDH19" s="10"/>
      <c r="EDI19" s="10"/>
      <c r="EDJ19" s="10"/>
      <c r="EDK19" s="10"/>
      <c r="EDL19" s="10"/>
      <c r="EDM19" s="10"/>
      <c r="EDN19" s="10"/>
      <c r="EDO19" s="10"/>
      <c r="EDP19" s="10"/>
      <c r="EDQ19" s="10"/>
      <c r="EDR19" s="10"/>
      <c r="EDS19" s="10"/>
      <c r="EDT19" s="10"/>
      <c r="EDU19" s="10"/>
      <c r="EDV19" s="10"/>
      <c r="EDW19" s="10"/>
      <c r="EDX19" s="10"/>
      <c r="EDY19" s="10"/>
      <c r="EDZ19" s="10"/>
      <c r="EEA19" s="10"/>
      <c r="EEB19" s="10"/>
      <c r="EEC19" s="10"/>
      <c r="EED19" s="10"/>
      <c r="EEE19" s="10"/>
      <c r="EEF19" s="10"/>
      <c r="EEG19" s="10"/>
      <c r="EEH19" s="10"/>
      <c r="EEI19" s="10"/>
      <c r="EEJ19" s="10"/>
      <c r="EEK19" s="10"/>
      <c r="EEL19" s="10"/>
      <c r="EEM19" s="10"/>
      <c r="EEN19" s="10"/>
      <c r="EEO19" s="10"/>
      <c r="EEP19" s="10"/>
      <c r="EEQ19" s="10"/>
      <c r="EER19" s="10"/>
      <c r="EES19" s="10"/>
      <c r="EET19" s="10"/>
      <c r="EEU19" s="10"/>
      <c r="EEV19" s="10"/>
      <c r="EEW19" s="10"/>
      <c r="EEX19" s="10"/>
      <c r="EEY19" s="10"/>
      <c r="EEZ19" s="10"/>
      <c r="EFA19" s="10"/>
      <c r="EFB19" s="10"/>
      <c r="EFC19" s="10"/>
      <c r="EFD19" s="10"/>
      <c r="EFE19" s="10"/>
      <c r="EFF19" s="10"/>
      <c r="EFG19" s="10"/>
      <c r="EFH19" s="10"/>
      <c r="EFI19" s="10"/>
      <c r="EFJ19" s="10"/>
      <c r="EFK19" s="10"/>
      <c r="EFL19" s="10"/>
      <c r="EFM19" s="10"/>
      <c r="EFN19" s="10"/>
      <c r="EFO19" s="10"/>
      <c r="EFP19" s="10"/>
      <c r="EFQ19" s="10"/>
      <c r="EFR19" s="10"/>
      <c r="EFS19" s="10"/>
      <c r="EFT19" s="10"/>
      <c r="EFU19" s="10"/>
      <c r="EFV19" s="10"/>
      <c r="EFW19" s="10"/>
      <c r="EFX19" s="10"/>
      <c r="EFY19" s="10"/>
      <c r="EFZ19" s="10"/>
      <c r="EGA19" s="10"/>
      <c r="EGB19" s="10"/>
      <c r="EGC19" s="10"/>
      <c r="EGD19" s="10"/>
      <c r="EGE19" s="10"/>
      <c r="EGF19" s="10"/>
      <c r="EGG19" s="10"/>
      <c r="EGH19" s="10"/>
      <c r="EGI19" s="10"/>
      <c r="EGJ19" s="10"/>
      <c r="EGK19" s="10"/>
      <c r="EGL19" s="10"/>
      <c r="EGM19" s="10"/>
      <c r="EGN19" s="10"/>
      <c r="EGO19" s="10"/>
      <c r="EGP19" s="10"/>
      <c r="EGQ19" s="10"/>
      <c r="EGR19" s="10"/>
      <c r="EGS19" s="10"/>
      <c r="EGT19" s="10"/>
      <c r="EGU19" s="10"/>
      <c r="EGV19" s="10"/>
      <c r="EGW19" s="10"/>
      <c r="EGX19" s="10"/>
      <c r="EGY19" s="10"/>
      <c r="EGZ19" s="10"/>
      <c r="EHA19" s="10"/>
      <c r="EHB19" s="10"/>
      <c r="EHC19" s="10"/>
      <c r="EHD19" s="10"/>
      <c r="EHE19" s="10"/>
      <c r="EHF19" s="10"/>
      <c r="EHG19" s="10"/>
      <c r="EHH19" s="10"/>
      <c r="EHI19" s="10"/>
      <c r="EHJ19" s="10"/>
      <c r="EHK19" s="10"/>
      <c r="EHL19" s="10"/>
      <c r="EHM19" s="10"/>
      <c r="EHN19" s="10"/>
      <c r="EHO19" s="10"/>
      <c r="EHP19" s="10"/>
      <c r="EHQ19" s="10"/>
      <c r="EHR19" s="10"/>
      <c r="EHS19" s="10"/>
      <c r="EHT19" s="10"/>
      <c r="EHU19" s="10"/>
      <c r="EHV19" s="10"/>
      <c r="EHW19" s="10"/>
      <c r="EHX19" s="10"/>
      <c r="EHY19" s="10"/>
      <c r="EHZ19" s="10"/>
      <c r="EIA19" s="10"/>
      <c r="EIB19" s="10"/>
      <c r="EIC19" s="10"/>
      <c r="EID19" s="10"/>
      <c r="EIE19" s="10"/>
      <c r="EIF19" s="10"/>
      <c r="EIG19" s="10"/>
      <c r="EIH19" s="10"/>
      <c r="EII19" s="10"/>
      <c r="EIJ19" s="10"/>
      <c r="EIK19" s="10"/>
      <c r="EIL19" s="10"/>
      <c r="EIM19" s="10"/>
      <c r="EIN19" s="10"/>
      <c r="EIO19" s="10"/>
      <c r="EIP19" s="10"/>
      <c r="EIQ19" s="10"/>
      <c r="EIR19" s="10"/>
      <c r="EIS19" s="10"/>
      <c r="EIT19" s="10"/>
      <c r="EIU19" s="10"/>
      <c r="EIV19" s="10"/>
      <c r="EIW19" s="10"/>
      <c r="EIX19" s="10"/>
      <c r="EIY19" s="10"/>
      <c r="EIZ19" s="10"/>
      <c r="EJA19" s="10"/>
      <c r="EJB19" s="10"/>
      <c r="EJC19" s="10"/>
      <c r="EJD19" s="10"/>
      <c r="EJE19" s="10"/>
      <c r="EJF19" s="10"/>
      <c r="EJG19" s="10"/>
      <c r="EJH19" s="10"/>
      <c r="EJI19" s="10"/>
      <c r="EJJ19" s="10"/>
      <c r="EJK19" s="10"/>
      <c r="EJL19" s="10"/>
      <c r="EJM19" s="10"/>
      <c r="EJN19" s="10"/>
      <c r="EJO19" s="10"/>
      <c r="EJP19" s="10"/>
      <c r="EJQ19" s="10"/>
      <c r="EJR19" s="10"/>
      <c r="EJS19" s="10"/>
      <c r="EJT19" s="10"/>
      <c r="EJU19" s="10"/>
      <c r="EJV19" s="10"/>
      <c r="EJW19" s="10"/>
      <c r="EJX19" s="10"/>
      <c r="EJY19" s="10"/>
      <c r="EJZ19" s="10"/>
      <c r="EKA19" s="10"/>
      <c r="EKB19" s="10"/>
      <c r="EKC19" s="10"/>
      <c r="EKD19" s="10"/>
      <c r="EKE19" s="10"/>
      <c r="EKF19" s="10"/>
      <c r="EKG19" s="10"/>
      <c r="EKH19" s="10"/>
      <c r="EKI19" s="10"/>
      <c r="EKJ19" s="10"/>
      <c r="EKK19" s="10"/>
      <c r="EKL19" s="10"/>
      <c r="EKM19" s="10"/>
      <c r="EKN19" s="10"/>
      <c r="EKO19" s="10"/>
      <c r="EKP19" s="10"/>
      <c r="EKQ19" s="10"/>
      <c r="EKR19" s="10"/>
      <c r="EKS19" s="10"/>
      <c r="EKT19" s="10"/>
      <c r="EKU19" s="10"/>
      <c r="EKV19" s="10"/>
      <c r="EKW19" s="10"/>
      <c r="EKX19" s="10"/>
      <c r="EKY19" s="10"/>
      <c r="EKZ19" s="10"/>
      <c r="ELA19" s="10"/>
      <c r="ELB19" s="10"/>
      <c r="ELC19" s="10"/>
      <c r="ELD19" s="10"/>
      <c r="ELE19" s="10"/>
      <c r="ELF19" s="10"/>
      <c r="ELG19" s="10"/>
      <c r="ELH19" s="10"/>
      <c r="ELI19" s="10"/>
      <c r="ELJ19" s="10"/>
      <c r="ELK19" s="10"/>
      <c r="ELL19" s="10"/>
      <c r="ELM19" s="10"/>
      <c r="ELN19" s="10"/>
      <c r="ELO19" s="10"/>
      <c r="ELP19" s="10"/>
      <c r="ELQ19" s="10"/>
      <c r="ELR19" s="10"/>
      <c r="ELS19" s="10"/>
      <c r="ELT19" s="10"/>
      <c r="ELU19" s="10"/>
      <c r="ELV19" s="10"/>
      <c r="ELW19" s="10"/>
      <c r="ELX19" s="10"/>
      <c r="ELY19" s="10"/>
      <c r="ELZ19" s="10"/>
      <c r="EMA19" s="10"/>
      <c r="EMB19" s="10"/>
      <c r="EMC19" s="10"/>
      <c r="EMD19" s="10"/>
      <c r="EME19" s="10"/>
      <c r="EMF19" s="10"/>
      <c r="EMG19" s="10"/>
      <c r="EMH19" s="10"/>
      <c r="EMI19" s="10"/>
      <c r="EMJ19" s="10"/>
      <c r="EMK19" s="10"/>
      <c r="EML19" s="10"/>
      <c r="EMM19" s="10"/>
      <c r="EMN19" s="10"/>
      <c r="EMO19" s="10"/>
      <c r="EMP19" s="10"/>
      <c r="EMQ19" s="10"/>
      <c r="EMR19" s="10"/>
      <c r="EMS19" s="10"/>
      <c r="EMT19" s="10"/>
      <c r="EMU19" s="10"/>
      <c r="EMV19" s="10"/>
      <c r="EMW19" s="10"/>
      <c r="EMX19" s="10"/>
      <c r="EMY19" s="10"/>
      <c r="EMZ19" s="10"/>
      <c r="ENA19" s="10"/>
      <c r="ENB19" s="10"/>
      <c r="ENC19" s="10"/>
      <c r="END19" s="10"/>
      <c r="ENE19" s="10"/>
      <c r="ENF19" s="10"/>
      <c r="ENG19" s="10"/>
      <c r="ENH19" s="10"/>
      <c r="ENI19" s="10"/>
      <c r="ENJ19" s="10"/>
      <c r="ENK19" s="10"/>
      <c r="ENL19" s="10"/>
      <c r="ENM19" s="10"/>
      <c r="ENN19" s="10"/>
      <c r="ENO19" s="10"/>
      <c r="ENP19" s="10"/>
      <c r="ENQ19" s="10"/>
      <c r="ENR19" s="10"/>
      <c r="ENS19" s="10"/>
      <c r="ENT19" s="10"/>
      <c r="ENU19" s="10"/>
      <c r="ENV19" s="10"/>
      <c r="ENW19" s="10"/>
      <c r="ENX19" s="10"/>
      <c r="ENY19" s="10"/>
      <c r="ENZ19" s="10"/>
      <c r="EOA19" s="10"/>
      <c r="EOB19" s="10"/>
      <c r="EOC19" s="10"/>
      <c r="EOD19" s="10"/>
      <c r="EOE19" s="10"/>
      <c r="EOF19" s="10"/>
      <c r="EOG19" s="10"/>
      <c r="EOH19" s="10"/>
      <c r="EOI19" s="10"/>
      <c r="EOJ19" s="10"/>
      <c r="EOK19" s="10"/>
      <c r="EOL19" s="10"/>
      <c r="EOM19" s="10"/>
      <c r="EON19" s="10"/>
      <c r="EOO19" s="10"/>
      <c r="EOP19" s="10"/>
      <c r="EOQ19" s="10"/>
      <c r="EOR19" s="10"/>
      <c r="EOS19" s="10"/>
      <c r="EOT19" s="10"/>
      <c r="EOU19" s="10"/>
      <c r="EOV19" s="10"/>
      <c r="EOW19" s="10"/>
      <c r="EOX19" s="10"/>
      <c r="EOY19" s="10"/>
      <c r="EOZ19" s="10"/>
      <c r="EPA19" s="10"/>
      <c r="EPB19" s="10"/>
      <c r="EPC19" s="10"/>
      <c r="EPD19" s="10"/>
      <c r="EPE19" s="10"/>
      <c r="EPF19" s="10"/>
      <c r="EPG19" s="10"/>
      <c r="EPH19" s="10"/>
      <c r="EPI19" s="10"/>
      <c r="EPJ19" s="10"/>
      <c r="EPK19" s="10"/>
      <c r="EPL19" s="10"/>
      <c r="EPM19" s="10"/>
      <c r="EPN19" s="10"/>
      <c r="EPO19" s="10"/>
      <c r="EPP19" s="10"/>
      <c r="EPQ19" s="10"/>
      <c r="EPR19" s="10"/>
      <c r="EPS19" s="10"/>
      <c r="EPT19" s="10"/>
      <c r="EPU19" s="10"/>
      <c r="EPV19" s="10"/>
      <c r="EPW19" s="10"/>
      <c r="EPX19" s="10"/>
      <c r="EPY19" s="10"/>
      <c r="EPZ19" s="10"/>
      <c r="EQA19" s="10"/>
      <c r="EQB19" s="10"/>
      <c r="EQC19" s="10"/>
      <c r="EQD19" s="10"/>
      <c r="EQE19" s="10"/>
      <c r="EQF19" s="10"/>
      <c r="EQG19" s="10"/>
      <c r="EQH19" s="10"/>
      <c r="EQI19" s="10"/>
      <c r="EQJ19" s="10"/>
      <c r="EQK19" s="10"/>
      <c r="EQL19" s="10"/>
      <c r="EQM19" s="10"/>
      <c r="EQN19" s="10"/>
      <c r="EQO19" s="10"/>
      <c r="EQP19" s="10"/>
      <c r="EQQ19" s="10"/>
      <c r="EQR19" s="10"/>
      <c r="EQS19" s="10"/>
      <c r="EQT19" s="10"/>
      <c r="EQU19" s="10"/>
      <c r="EQV19" s="10"/>
      <c r="EQW19" s="10"/>
      <c r="EQX19" s="10"/>
      <c r="EQY19" s="10"/>
      <c r="EQZ19" s="10"/>
      <c r="ERA19" s="10"/>
      <c r="ERB19" s="10"/>
      <c r="ERC19" s="10"/>
      <c r="ERD19" s="10"/>
      <c r="ERE19" s="10"/>
      <c r="ERF19" s="10"/>
      <c r="ERG19" s="10"/>
      <c r="ERH19" s="10"/>
      <c r="ERI19" s="10"/>
      <c r="ERJ19" s="10"/>
      <c r="ERK19" s="10"/>
      <c r="ERL19" s="10"/>
      <c r="ERM19" s="10"/>
      <c r="ERN19" s="10"/>
      <c r="ERO19" s="10"/>
      <c r="ERP19" s="10"/>
      <c r="ERQ19" s="10"/>
      <c r="ERR19" s="10"/>
      <c r="ERS19" s="10"/>
      <c r="ERT19" s="10"/>
      <c r="ERU19" s="10"/>
      <c r="ERV19" s="10"/>
      <c r="ERW19" s="10"/>
      <c r="ERX19" s="10"/>
      <c r="ERY19" s="10"/>
      <c r="ERZ19" s="10"/>
      <c r="ESA19" s="10"/>
      <c r="ESB19" s="10"/>
      <c r="ESC19" s="10"/>
      <c r="ESD19" s="10"/>
      <c r="ESE19" s="10"/>
      <c r="ESF19" s="10"/>
      <c r="ESG19" s="10"/>
      <c r="ESH19" s="10"/>
      <c r="ESI19" s="10"/>
      <c r="ESJ19" s="10"/>
      <c r="ESK19" s="10"/>
      <c r="ESL19" s="10"/>
      <c r="ESM19" s="10"/>
      <c r="ESN19" s="10"/>
      <c r="ESO19" s="10"/>
      <c r="ESP19" s="10"/>
      <c r="ESQ19" s="10"/>
      <c r="ESR19" s="10"/>
      <c r="ESS19" s="10"/>
      <c r="EST19" s="10"/>
      <c r="ESU19" s="10"/>
      <c r="ESV19" s="10"/>
      <c r="ESW19" s="10"/>
      <c r="ESX19" s="10"/>
      <c r="ESY19" s="10"/>
      <c r="ESZ19" s="10"/>
      <c r="ETA19" s="10"/>
      <c r="ETB19" s="10"/>
      <c r="ETC19" s="10"/>
      <c r="ETD19" s="10"/>
      <c r="ETE19" s="10"/>
      <c r="ETF19" s="10"/>
      <c r="ETG19" s="10"/>
      <c r="ETH19" s="10"/>
      <c r="ETI19" s="10"/>
      <c r="ETJ19" s="10"/>
      <c r="ETK19" s="10"/>
      <c r="ETL19" s="10"/>
      <c r="ETM19" s="10"/>
      <c r="ETN19" s="10"/>
      <c r="ETO19" s="10"/>
      <c r="ETP19" s="10"/>
      <c r="ETQ19" s="10"/>
      <c r="ETR19" s="10"/>
      <c r="ETS19" s="10"/>
      <c r="ETT19" s="10"/>
      <c r="ETU19" s="10"/>
      <c r="ETV19" s="10"/>
      <c r="ETW19" s="10"/>
      <c r="ETX19" s="10"/>
      <c r="ETY19" s="10"/>
      <c r="ETZ19" s="10"/>
      <c r="EUA19" s="10"/>
      <c r="EUB19" s="10"/>
      <c r="EUC19" s="10"/>
      <c r="EUD19" s="10"/>
      <c r="EUE19" s="10"/>
      <c r="EUF19" s="10"/>
      <c r="EUG19" s="10"/>
      <c r="EUH19" s="10"/>
      <c r="EUI19" s="10"/>
      <c r="EUJ19" s="10"/>
      <c r="EUK19" s="10"/>
      <c r="EUL19" s="10"/>
      <c r="EUM19" s="10"/>
      <c r="EUN19" s="10"/>
      <c r="EUO19" s="10"/>
      <c r="EUP19" s="10"/>
      <c r="EUQ19" s="10"/>
      <c r="EUR19" s="10"/>
      <c r="EUS19" s="10"/>
      <c r="EUT19" s="10"/>
      <c r="EUU19" s="10"/>
      <c r="EUV19" s="10"/>
      <c r="EUW19" s="10"/>
      <c r="EUX19" s="10"/>
      <c r="EUY19" s="10"/>
      <c r="EUZ19" s="10"/>
      <c r="EVA19" s="10"/>
      <c r="EVB19" s="10"/>
      <c r="EVC19" s="10"/>
      <c r="EVD19" s="10"/>
      <c r="EVE19" s="10"/>
      <c r="EVF19" s="10"/>
      <c r="EVG19" s="10"/>
      <c r="EVH19" s="10"/>
      <c r="EVI19" s="10"/>
      <c r="EVJ19" s="10"/>
      <c r="EVK19" s="10"/>
      <c r="EVL19" s="10"/>
      <c r="EVM19" s="10"/>
      <c r="EVN19" s="10"/>
      <c r="EVO19" s="10"/>
      <c r="EVP19" s="10"/>
      <c r="EVQ19" s="10"/>
      <c r="EVR19" s="10"/>
      <c r="EVS19" s="10"/>
      <c r="EVT19" s="10"/>
      <c r="EVU19" s="10"/>
      <c r="EVV19" s="10"/>
      <c r="EVW19" s="10"/>
      <c r="EVX19" s="10"/>
      <c r="EVY19" s="10"/>
      <c r="EVZ19" s="10"/>
      <c r="EWA19" s="10"/>
      <c r="EWB19" s="10"/>
      <c r="EWC19" s="10"/>
      <c r="EWD19" s="10"/>
      <c r="EWE19" s="10"/>
      <c r="EWF19" s="10"/>
      <c r="EWG19" s="10"/>
      <c r="EWH19" s="10"/>
      <c r="EWI19" s="10"/>
      <c r="EWJ19" s="10"/>
      <c r="EWK19" s="10"/>
      <c r="EWL19" s="10"/>
      <c r="EWM19" s="10"/>
      <c r="EWN19" s="10"/>
      <c r="EWO19" s="10"/>
      <c r="EWP19" s="10"/>
      <c r="EWQ19" s="10"/>
      <c r="EWR19" s="10"/>
      <c r="EWS19" s="10"/>
      <c r="EWT19" s="10"/>
      <c r="EWU19" s="10"/>
      <c r="EWV19" s="10"/>
      <c r="EWW19" s="10"/>
      <c r="EWX19" s="10"/>
      <c r="EWY19" s="10"/>
      <c r="EWZ19" s="10"/>
      <c r="EXA19" s="10"/>
      <c r="EXB19" s="10"/>
      <c r="EXC19" s="10"/>
      <c r="EXD19" s="10"/>
      <c r="EXE19" s="10"/>
      <c r="EXF19" s="10"/>
      <c r="EXG19" s="10"/>
      <c r="EXH19" s="10"/>
      <c r="EXI19" s="10"/>
      <c r="EXJ19" s="10"/>
      <c r="EXK19" s="10"/>
      <c r="EXL19" s="10"/>
      <c r="EXM19" s="10"/>
      <c r="EXN19" s="10"/>
      <c r="EXO19" s="10"/>
      <c r="EXP19" s="10"/>
      <c r="EXQ19" s="10"/>
      <c r="EXR19" s="10"/>
      <c r="EXS19" s="10"/>
      <c r="EXT19" s="10"/>
      <c r="EXU19" s="10"/>
      <c r="EXV19" s="10"/>
      <c r="EXW19" s="10"/>
      <c r="EXX19" s="10"/>
      <c r="EXY19" s="10"/>
      <c r="EXZ19" s="10"/>
      <c r="EYA19" s="10"/>
      <c r="EYB19" s="10"/>
      <c r="EYC19" s="10"/>
      <c r="EYD19" s="10"/>
      <c r="EYE19" s="10"/>
      <c r="EYF19" s="10"/>
      <c r="EYG19" s="10"/>
      <c r="EYH19" s="10"/>
      <c r="EYI19" s="10"/>
      <c r="EYJ19" s="10"/>
      <c r="EYK19" s="10"/>
      <c r="EYL19" s="10"/>
      <c r="EYM19" s="10"/>
      <c r="EYN19" s="10"/>
      <c r="EYO19" s="10"/>
      <c r="EYP19" s="10"/>
      <c r="EYQ19" s="10"/>
      <c r="EYR19" s="10"/>
      <c r="EYS19" s="10"/>
      <c r="EYT19" s="10"/>
      <c r="EYU19" s="10"/>
      <c r="EYV19" s="10"/>
      <c r="EYW19" s="10"/>
      <c r="EYX19" s="10"/>
      <c r="EYY19" s="10"/>
      <c r="EYZ19" s="10"/>
      <c r="EZA19" s="10"/>
      <c r="EZB19" s="10"/>
      <c r="EZC19" s="10"/>
      <c r="EZD19" s="10"/>
      <c r="EZE19" s="10"/>
      <c r="EZF19" s="10"/>
      <c r="EZG19" s="10"/>
      <c r="EZH19" s="10"/>
      <c r="EZI19" s="10"/>
      <c r="EZJ19" s="10"/>
      <c r="EZK19" s="10"/>
      <c r="EZL19" s="10"/>
      <c r="EZM19" s="10"/>
      <c r="EZN19" s="10"/>
      <c r="EZO19" s="10"/>
      <c r="EZP19" s="10"/>
      <c r="EZQ19" s="10"/>
      <c r="EZR19" s="10"/>
      <c r="EZS19" s="10"/>
      <c r="EZT19" s="10"/>
      <c r="EZU19" s="10"/>
      <c r="EZV19" s="10"/>
      <c r="EZW19" s="10"/>
      <c r="EZX19" s="10"/>
      <c r="EZY19" s="10"/>
      <c r="EZZ19" s="10"/>
      <c r="FAA19" s="10"/>
      <c r="FAB19" s="10"/>
      <c r="FAC19" s="10"/>
      <c r="FAD19" s="10"/>
      <c r="FAE19" s="10"/>
      <c r="FAF19" s="10"/>
      <c r="FAG19" s="10"/>
      <c r="FAH19" s="10"/>
      <c r="FAI19" s="10"/>
      <c r="FAJ19" s="10"/>
      <c r="FAK19" s="10"/>
      <c r="FAL19" s="10"/>
      <c r="FAM19" s="10"/>
      <c r="FAN19" s="10"/>
      <c r="FAO19" s="10"/>
      <c r="FAP19" s="10"/>
      <c r="FAQ19" s="10"/>
      <c r="FAR19" s="10"/>
      <c r="FAS19" s="10"/>
      <c r="FAT19" s="10"/>
      <c r="FAU19" s="10"/>
      <c r="FAV19" s="10"/>
      <c r="FAW19" s="10"/>
      <c r="FAX19" s="10"/>
      <c r="FAY19" s="10"/>
      <c r="FAZ19" s="10"/>
      <c r="FBA19" s="10"/>
      <c r="FBB19" s="10"/>
      <c r="FBC19" s="10"/>
      <c r="FBD19" s="10"/>
      <c r="FBE19" s="10"/>
      <c r="FBF19" s="10"/>
      <c r="FBG19" s="10"/>
      <c r="FBH19" s="10"/>
      <c r="FBI19" s="10"/>
      <c r="FBJ19" s="10"/>
      <c r="FBK19" s="10"/>
      <c r="FBL19" s="10"/>
      <c r="FBM19" s="10"/>
      <c r="FBN19" s="10"/>
      <c r="FBO19" s="10"/>
      <c r="FBP19" s="10"/>
      <c r="FBQ19" s="10"/>
      <c r="FBR19" s="10"/>
      <c r="FBS19" s="10"/>
      <c r="FBT19" s="10"/>
      <c r="FBU19" s="10"/>
      <c r="FBV19" s="10"/>
      <c r="FBW19" s="10"/>
      <c r="FBX19" s="10"/>
      <c r="FBY19" s="10"/>
      <c r="FBZ19" s="10"/>
      <c r="FCA19" s="10"/>
      <c r="FCB19" s="10"/>
      <c r="FCC19" s="10"/>
      <c r="FCD19" s="10"/>
      <c r="FCE19" s="10"/>
      <c r="FCF19" s="10"/>
      <c r="FCG19" s="10"/>
      <c r="FCH19" s="10"/>
      <c r="FCI19" s="10"/>
      <c r="FCJ19" s="10"/>
      <c r="FCK19" s="10"/>
      <c r="FCL19" s="10"/>
      <c r="FCM19" s="10"/>
      <c r="FCN19" s="10"/>
      <c r="FCO19" s="10"/>
      <c r="FCP19" s="10"/>
      <c r="FCQ19" s="10"/>
      <c r="FCR19" s="10"/>
      <c r="FCS19" s="10"/>
      <c r="FCT19" s="10"/>
      <c r="FCU19" s="10"/>
      <c r="FCV19" s="10"/>
      <c r="FCW19" s="10"/>
      <c r="FCX19" s="10"/>
      <c r="FCY19" s="10"/>
      <c r="FCZ19" s="10"/>
      <c r="FDA19" s="10"/>
      <c r="FDB19" s="10"/>
      <c r="FDC19" s="10"/>
      <c r="FDD19" s="10"/>
      <c r="FDE19" s="10"/>
      <c r="FDF19" s="10"/>
      <c r="FDG19" s="10"/>
      <c r="FDH19" s="10"/>
      <c r="FDI19" s="10"/>
      <c r="FDJ19" s="10"/>
      <c r="FDK19" s="10"/>
      <c r="FDL19" s="10"/>
      <c r="FDM19" s="10"/>
      <c r="FDN19" s="10"/>
      <c r="FDO19" s="10"/>
      <c r="FDP19" s="10"/>
      <c r="FDQ19" s="10"/>
      <c r="FDR19" s="10"/>
      <c r="FDS19" s="10"/>
      <c r="FDT19" s="10"/>
      <c r="FDU19" s="10"/>
      <c r="FDV19" s="10"/>
      <c r="FDW19" s="10"/>
      <c r="FDX19" s="10"/>
      <c r="FDY19" s="10"/>
      <c r="FDZ19" s="10"/>
      <c r="FEA19" s="10"/>
      <c r="FEB19" s="10"/>
      <c r="FEC19" s="10"/>
      <c r="FED19" s="10"/>
      <c r="FEE19" s="10"/>
      <c r="FEF19" s="10"/>
      <c r="FEG19" s="10"/>
      <c r="FEH19" s="10"/>
      <c r="FEI19" s="10"/>
      <c r="FEJ19" s="10"/>
      <c r="FEK19" s="10"/>
      <c r="FEL19" s="10"/>
      <c r="FEM19" s="10"/>
      <c r="FEN19" s="10"/>
      <c r="FEO19" s="10"/>
      <c r="FEP19" s="10"/>
      <c r="FEQ19" s="10"/>
      <c r="FER19" s="10"/>
      <c r="FES19" s="10"/>
      <c r="FET19" s="10"/>
      <c r="FEU19" s="10"/>
      <c r="FEV19" s="10"/>
      <c r="FEW19" s="10"/>
      <c r="FEX19" s="10"/>
      <c r="FEY19" s="10"/>
      <c r="FEZ19" s="10"/>
      <c r="FFA19" s="10"/>
      <c r="FFB19" s="10"/>
      <c r="FFC19" s="10"/>
      <c r="FFD19" s="10"/>
      <c r="FFE19" s="10"/>
      <c r="FFF19" s="10"/>
      <c r="FFG19" s="10"/>
      <c r="FFH19" s="10"/>
      <c r="FFI19" s="10"/>
      <c r="FFJ19" s="10"/>
      <c r="FFK19" s="10"/>
      <c r="FFL19" s="10"/>
      <c r="FFM19" s="10"/>
      <c r="FFN19" s="10"/>
      <c r="FFO19" s="10"/>
      <c r="FFP19" s="10"/>
      <c r="FFQ19" s="10"/>
      <c r="FFR19" s="10"/>
      <c r="FFS19" s="10"/>
      <c r="FFT19" s="10"/>
      <c r="FFU19" s="10"/>
      <c r="FFV19" s="10"/>
      <c r="FFW19" s="10"/>
      <c r="FFX19" s="10"/>
      <c r="FFY19" s="10"/>
      <c r="FFZ19" s="10"/>
      <c r="FGA19" s="10"/>
      <c r="FGB19" s="10"/>
      <c r="FGC19" s="10"/>
      <c r="FGD19" s="10"/>
      <c r="FGE19" s="10"/>
      <c r="FGF19" s="10"/>
      <c r="FGG19" s="10"/>
      <c r="FGH19" s="10"/>
      <c r="FGI19" s="10"/>
      <c r="FGJ19" s="10"/>
      <c r="FGK19" s="10"/>
      <c r="FGL19" s="10"/>
      <c r="FGM19" s="10"/>
      <c r="FGN19" s="10"/>
      <c r="FGO19" s="10"/>
      <c r="FGP19" s="10"/>
      <c r="FGQ19" s="10"/>
      <c r="FGR19" s="10"/>
      <c r="FGS19" s="10"/>
      <c r="FGT19" s="10"/>
      <c r="FGU19" s="10"/>
      <c r="FGV19" s="10"/>
      <c r="FGW19" s="10"/>
      <c r="FGX19" s="10"/>
      <c r="FGY19" s="10"/>
      <c r="FGZ19" s="10"/>
      <c r="FHA19" s="10"/>
      <c r="FHB19" s="10"/>
      <c r="FHC19" s="10"/>
      <c r="FHD19" s="10"/>
      <c r="FHE19" s="10"/>
      <c r="FHF19" s="10"/>
      <c r="FHG19" s="10"/>
      <c r="FHH19" s="10"/>
      <c r="FHI19" s="10"/>
      <c r="FHJ19" s="10"/>
      <c r="FHK19" s="10"/>
      <c r="FHL19" s="10"/>
      <c r="FHM19" s="10"/>
      <c r="FHN19" s="10"/>
      <c r="FHO19" s="10"/>
      <c r="FHP19" s="10"/>
      <c r="FHQ19" s="10"/>
      <c r="FHR19" s="10"/>
      <c r="FHS19" s="10"/>
      <c r="FHT19" s="10"/>
      <c r="FHU19" s="10"/>
      <c r="FHV19" s="10"/>
      <c r="FHW19" s="10"/>
      <c r="FHX19" s="10"/>
      <c r="FHY19" s="10"/>
      <c r="FHZ19" s="10"/>
      <c r="FIA19" s="10"/>
      <c r="FIB19" s="10"/>
      <c r="FIC19" s="10"/>
      <c r="FID19" s="10"/>
      <c r="FIE19" s="10"/>
      <c r="FIF19" s="10"/>
      <c r="FIG19" s="10"/>
      <c r="FIH19" s="10"/>
      <c r="FII19" s="10"/>
      <c r="FIJ19" s="10"/>
      <c r="FIK19" s="10"/>
      <c r="FIL19" s="10"/>
      <c r="FIM19" s="10"/>
      <c r="FIN19" s="10"/>
      <c r="FIO19" s="10"/>
      <c r="FIP19" s="10"/>
      <c r="FIQ19" s="10"/>
      <c r="FIR19" s="10"/>
      <c r="FIS19" s="10"/>
      <c r="FIT19" s="10"/>
      <c r="FIU19" s="10"/>
      <c r="FIV19" s="10"/>
      <c r="FIW19" s="10"/>
      <c r="FIX19" s="10"/>
      <c r="FIY19" s="10"/>
      <c r="FIZ19" s="10"/>
      <c r="FJA19" s="10"/>
      <c r="FJB19" s="10"/>
      <c r="FJC19" s="10"/>
      <c r="FJD19" s="10"/>
      <c r="FJE19" s="10"/>
      <c r="FJF19" s="10"/>
      <c r="FJG19" s="10"/>
      <c r="FJH19" s="10"/>
      <c r="FJI19" s="10"/>
      <c r="FJJ19" s="10"/>
      <c r="FJK19" s="10"/>
      <c r="FJL19" s="10"/>
      <c r="FJM19" s="10"/>
      <c r="FJN19" s="10"/>
      <c r="FJO19" s="10"/>
      <c r="FJP19" s="10"/>
      <c r="FJQ19" s="10"/>
      <c r="FJR19" s="10"/>
      <c r="FJS19" s="10"/>
      <c r="FJT19" s="10"/>
      <c r="FJU19" s="10"/>
      <c r="FJV19" s="10"/>
      <c r="FJW19" s="10"/>
      <c r="FJX19" s="10"/>
      <c r="FJY19" s="10"/>
      <c r="FJZ19" s="10"/>
      <c r="FKA19" s="10"/>
      <c r="FKB19" s="10"/>
      <c r="FKC19" s="10"/>
      <c r="FKD19" s="10"/>
      <c r="FKE19" s="10"/>
      <c r="FKF19" s="10"/>
      <c r="FKG19" s="10"/>
      <c r="FKH19" s="10"/>
      <c r="FKI19" s="10"/>
      <c r="FKJ19" s="10"/>
      <c r="FKK19" s="10"/>
      <c r="FKL19" s="10"/>
      <c r="FKM19" s="10"/>
      <c r="FKN19" s="10"/>
      <c r="FKO19" s="10"/>
      <c r="FKP19" s="10"/>
      <c r="FKQ19" s="10"/>
      <c r="FKR19" s="10"/>
      <c r="FKS19" s="10"/>
      <c r="FKT19" s="10"/>
      <c r="FKU19" s="10"/>
      <c r="FKV19" s="10"/>
      <c r="FKW19" s="10"/>
      <c r="FKX19" s="10"/>
      <c r="FKY19" s="10"/>
      <c r="FKZ19" s="10"/>
      <c r="FLA19" s="10"/>
      <c r="FLB19" s="10"/>
      <c r="FLC19" s="10"/>
      <c r="FLD19" s="10"/>
      <c r="FLE19" s="10"/>
      <c r="FLF19" s="10"/>
      <c r="FLG19" s="10"/>
      <c r="FLH19" s="10"/>
      <c r="FLI19" s="10"/>
      <c r="FLJ19" s="10"/>
      <c r="FLK19" s="10"/>
      <c r="FLL19" s="10"/>
      <c r="FLM19" s="10"/>
      <c r="FLN19" s="10"/>
      <c r="FLO19" s="10"/>
      <c r="FLP19" s="10"/>
      <c r="FLQ19" s="10"/>
      <c r="FLR19" s="10"/>
      <c r="FLS19" s="10"/>
      <c r="FLT19" s="10"/>
      <c r="FLU19" s="10"/>
      <c r="FLV19" s="10"/>
      <c r="FLW19" s="10"/>
      <c r="FLX19" s="10"/>
      <c r="FLY19" s="10"/>
      <c r="FLZ19" s="10"/>
      <c r="FMA19" s="10"/>
      <c r="FMB19" s="10"/>
      <c r="FMC19" s="10"/>
      <c r="FMD19" s="10"/>
      <c r="FME19" s="10"/>
      <c r="FMF19" s="10"/>
      <c r="FMG19" s="10"/>
      <c r="FMH19" s="10"/>
      <c r="FMI19" s="10"/>
      <c r="FMJ19" s="10"/>
      <c r="FMK19" s="10"/>
      <c r="FML19" s="10"/>
      <c r="FMM19" s="10"/>
      <c r="FMN19" s="10"/>
      <c r="FMO19" s="10"/>
      <c r="FMP19" s="10"/>
      <c r="FMQ19" s="10"/>
      <c r="FMR19" s="10"/>
      <c r="FMS19" s="10"/>
      <c r="FMT19" s="10"/>
      <c r="FMU19" s="10"/>
      <c r="FMV19" s="10"/>
      <c r="FMW19" s="10"/>
      <c r="FMX19" s="10"/>
      <c r="FMY19" s="10"/>
      <c r="FMZ19" s="10"/>
      <c r="FNA19" s="10"/>
      <c r="FNB19" s="10"/>
      <c r="FNC19" s="10"/>
      <c r="FND19" s="10"/>
      <c r="FNE19" s="10"/>
      <c r="FNF19" s="10"/>
      <c r="FNG19" s="10"/>
      <c r="FNH19" s="10"/>
      <c r="FNI19" s="10"/>
      <c r="FNJ19" s="10"/>
      <c r="FNK19" s="10"/>
      <c r="FNL19" s="10"/>
      <c r="FNM19" s="10"/>
      <c r="FNN19" s="10"/>
      <c r="FNO19" s="10"/>
      <c r="FNP19" s="10"/>
      <c r="FNQ19" s="10"/>
      <c r="FNR19" s="10"/>
      <c r="FNS19" s="10"/>
      <c r="FNT19" s="10"/>
      <c r="FNU19" s="10"/>
      <c r="FNV19" s="10"/>
      <c r="FNW19" s="10"/>
      <c r="FNX19" s="10"/>
      <c r="FNY19" s="10"/>
      <c r="FNZ19" s="10"/>
      <c r="FOA19" s="10"/>
      <c r="FOB19" s="10"/>
      <c r="FOC19" s="10"/>
      <c r="FOD19" s="10"/>
      <c r="FOE19" s="10"/>
      <c r="FOF19" s="10"/>
      <c r="FOG19" s="10"/>
      <c r="FOH19" s="10"/>
      <c r="FOI19" s="10"/>
      <c r="FOJ19" s="10"/>
      <c r="FOK19" s="10"/>
      <c r="FOL19" s="10"/>
      <c r="FOM19" s="10"/>
      <c r="FON19" s="10"/>
      <c r="FOO19" s="10"/>
      <c r="FOP19" s="10"/>
      <c r="FOQ19" s="10"/>
      <c r="FOR19" s="10"/>
      <c r="FOS19" s="10"/>
      <c r="FOT19" s="10"/>
      <c r="FOU19" s="10"/>
      <c r="FOV19" s="10"/>
      <c r="FOW19" s="10"/>
      <c r="FOX19" s="10"/>
      <c r="FOY19" s="10"/>
      <c r="FOZ19" s="10"/>
      <c r="FPA19" s="10"/>
      <c r="FPB19" s="10"/>
      <c r="FPC19" s="10"/>
      <c r="FPD19" s="10"/>
      <c r="FPE19" s="10"/>
      <c r="FPF19" s="10"/>
      <c r="FPG19" s="10"/>
      <c r="FPH19" s="10"/>
      <c r="FPI19" s="10"/>
      <c r="FPJ19" s="10"/>
      <c r="FPK19" s="10"/>
      <c r="FPL19" s="10"/>
      <c r="FPM19" s="10"/>
      <c r="FPN19" s="10"/>
      <c r="FPO19" s="10"/>
      <c r="FPP19" s="10"/>
      <c r="FPQ19" s="10"/>
      <c r="FPR19" s="10"/>
      <c r="FPS19" s="10"/>
      <c r="FPT19" s="10"/>
      <c r="FPU19" s="10"/>
      <c r="FPV19" s="10"/>
      <c r="FPW19" s="10"/>
      <c r="FPX19" s="10"/>
      <c r="FPY19" s="10"/>
      <c r="FPZ19" s="10"/>
      <c r="FQA19" s="10"/>
      <c r="FQB19" s="10"/>
      <c r="FQC19" s="10"/>
      <c r="FQD19" s="10"/>
      <c r="FQE19" s="10"/>
      <c r="FQF19" s="10"/>
      <c r="FQG19" s="10"/>
      <c r="FQH19" s="10"/>
      <c r="FQI19" s="10"/>
      <c r="FQJ19" s="10"/>
      <c r="FQK19" s="10"/>
      <c r="FQL19" s="10"/>
      <c r="FQM19" s="10"/>
      <c r="FQN19" s="10"/>
      <c r="FQO19" s="10"/>
      <c r="FQP19" s="10"/>
      <c r="FQQ19" s="10"/>
      <c r="FQR19" s="10"/>
      <c r="FQS19" s="10"/>
      <c r="FQT19" s="10"/>
      <c r="FQU19" s="10"/>
      <c r="FQV19" s="10"/>
      <c r="FQW19" s="10"/>
      <c r="FQX19" s="10"/>
      <c r="FQY19" s="10"/>
      <c r="FQZ19" s="10"/>
      <c r="FRA19" s="10"/>
      <c r="FRB19" s="10"/>
      <c r="FRC19" s="10"/>
      <c r="FRD19" s="10"/>
      <c r="FRE19" s="10"/>
      <c r="FRF19" s="10"/>
      <c r="FRG19" s="10"/>
      <c r="FRH19" s="10"/>
      <c r="FRI19" s="10"/>
      <c r="FRJ19" s="10"/>
      <c r="FRK19" s="10"/>
      <c r="FRL19" s="10"/>
      <c r="FRM19" s="10"/>
      <c r="FRN19" s="10"/>
      <c r="FRO19" s="10"/>
      <c r="FRP19" s="10"/>
      <c r="FRQ19" s="10"/>
      <c r="FRR19" s="10"/>
      <c r="FRS19" s="10"/>
      <c r="FRT19" s="10"/>
      <c r="FRU19" s="10"/>
      <c r="FRV19" s="10"/>
      <c r="FRW19" s="10"/>
      <c r="FRX19" s="10"/>
      <c r="FRY19" s="10"/>
      <c r="FRZ19" s="10"/>
      <c r="FSA19" s="10"/>
      <c r="FSB19" s="10"/>
      <c r="FSC19" s="10"/>
      <c r="FSD19" s="10"/>
      <c r="FSE19" s="10"/>
      <c r="FSF19" s="10"/>
      <c r="FSG19" s="10"/>
      <c r="FSH19" s="10"/>
      <c r="FSI19" s="10"/>
      <c r="FSJ19" s="10"/>
      <c r="FSK19" s="10"/>
      <c r="FSL19" s="10"/>
      <c r="FSM19" s="10"/>
      <c r="FSN19" s="10"/>
      <c r="FSO19" s="10"/>
      <c r="FSP19" s="10"/>
      <c r="FSQ19" s="10"/>
      <c r="FSR19" s="10"/>
      <c r="FSS19" s="10"/>
      <c r="FST19" s="10"/>
      <c r="FSU19" s="10"/>
      <c r="FSV19" s="10"/>
      <c r="FSW19" s="10"/>
      <c r="FSX19" s="10"/>
      <c r="FSY19" s="10"/>
      <c r="FSZ19" s="10"/>
      <c r="FTA19" s="10"/>
      <c r="FTB19" s="10"/>
      <c r="FTC19" s="10"/>
      <c r="FTD19" s="10"/>
      <c r="FTE19" s="10"/>
      <c r="FTF19" s="10"/>
      <c r="FTG19" s="10"/>
      <c r="FTH19" s="10"/>
      <c r="FTI19" s="10"/>
      <c r="FTJ19" s="10"/>
      <c r="FTK19" s="10"/>
      <c r="FTL19" s="10"/>
      <c r="FTM19" s="10"/>
      <c r="FTN19" s="10"/>
      <c r="FTO19" s="10"/>
      <c r="FTP19" s="10"/>
      <c r="FTQ19" s="10"/>
      <c r="FTR19" s="10"/>
      <c r="FTS19" s="10"/>
      <c r="FTT19" s="10"/>
      <c r="FTU19" s="10"/>
      <c r="FTV19" s="10"/>
      <c r="FTW19" s="10"/>
      <c r="FTX19" s="10"/>
      <c r="FTY19" s="10"/>
      <c r="FTZ19" s="10"/>
      <c r="FUA19" s="10"/>
      <c r="FUB19" s="10"/>
      <c r="FUC19" s="10"/>
      <c r="FUD19" s="10"/>
      <c r="FUE19" s="10"/>
      <c r="FUF19" s="10"/>
      <c r="FUG19" s="10"/>
      <c r="FUH19" s="10"/>
      <c r="FUI19" s="10"/>
      <c r="FUJ19" s="10"/>
      <c r="FUK19" s="10"/>
      <c r="FUL19" s="10"/>
      <c r="FUM19" s="10"/>
      <c r="FUN19" s="10"/>
      <c r="FUO19" s="10"/>
      <c r="FUP19" s="10"/>
      <c r="FUQ19" s="10"/>
      <c r="FUR19" s="10"/>
      <c r="FUS19" s="10"/>
      <c r="FUT19" s="10"/>
      <c r="FUU19" s="10"/>
      <c r="FUV19" s="10"/>
      <c r="FUW19" s="10"/>
      <c r="FUX19" s="10"/>
      <c r="FUY19" s="10"/>
      <c r="FUZ19" s="10"/>
      <c r="FVA19" s="10"/>
      <c r="FVB19" s="10"/>
      <c r="FVC19" s="10"/>
      <c r="FVD19" s="10"/>
      <c r="FVE19" s="10"/>
      <c r="FVF19" s="10"/>
      <c r="FVG19" s="10"/>
      <c r="FVH19" s="10"/>
      <c r="FVI19" s="10"/>
      <c r="FVJ19" s="10"/>
      <c r="FVK19" s="10"/>
      <c r="FVL19" s="10"/>
      <c r="FVM19" s="10"/>
      <c r="FVN19" s="10"/>
      <c r="FVO19" s="10"/>
      <c r="FVP19" s="10"/>
      <c r="FVQ19" s="10"/>
      <c r="FVR19" s="10"/>
      <c r="FVS19" s="10"/>
      <c r="FVT19" s="10"/>
      <c r="FVU19" s="10"/>
      <c r="FVV19" s="10"/>
      <c r="FVW19" s="10"/>
      <c r="FVX19" s="10"/>
      <c r="FVY19" s="10"/>
      <c r="FVZ19" s="10"/>
      <c r="FWA19" s="10"/>
      <c r="FWB19" s="10"/>
      <c r="FWC19" s="10"/>
      <c r="FWD19" s="10"/>
      <c r="FWE19" s="10"/>
      <c r="FWF19" s="10"/>
      <c r="FWG19" s="10"/>
      <c r="FWH19" s="10"/>
      <c r="FWI19" s="10"/>
      <c r="FWJ19" s="10"/>
      <c r="FWK19" s="10"/>
      <c r="FWL19" s="10"/>
      <c r="FWM19" s="10"/>
      <c r="FWN19" s="10"/>
      <c r="FWO19" s="10"/>
      <c r="FWP19" s="10"/>
      <c r="FWQ19" s="10"/>
      <c r="FWR19" s="10"/>
      <c r="FWS19" s="10"/>
      <c r="FWT19" s="10"/>
      <c r="FWU19" s="10"/>
      <c r="FWV19" s="10"/>
      <c r="FWW19" s="10"/>
      <c r="FWX19" s="10"/>
      <c r="FWY19" s="10"/>
      <c r="FWZ19" s="10"/>
      <c r="FXA19" s="10"/>
      <c r="FXB19" s="10"/>
      <c r="FXC19" s="10"/>
      <c r="FXD19" s="10"/>
      <c r="FXE19" s="10"/>
      <c r="FXF19" s="10"/>
      <c r="FXG19" s="10"/>
      <c r="FXH19" s="10"/>
      <c r="FXI19" s="10"/>
      <c r="FXJ19" s="10"/>
      <c r="FXK19" s="10"/>
      <c r="FXL19" s="10"/>
      <c r="FXM19" s="10"/>
      <c r="FXN19" s="10"/>
      <c r="FXO19" s="10"/>
      <c r="FXP19" s="10"/>
      <c r="FXQ19" s="10"/>
      <c r="FXR19" s="10"/>
      <c r="FXS19" s="10"/>
      <c r="FXT19" s="10"/>
      <c r="FXU19" s="10"/>
      <c r="FXV19" s="10"/>
      <c r="FXW19" s="10"/>
      <c r="FXX19" s="10"/>
      <c r="FXY19" s="10"/>
      <c r="FXZ19" s="10"/>
      <c r="FYA19" s="10"/>
      <c r="FYB19" s="10"/>
      <c r="FYC19" s="10"/>
      <c r="FYD19" s="10"/>
      <c r="FYE19" s="10"/>
      <c r="FYF19" s="10"/>
      <c r="FYG19" s="10"/>
      <c r="FYH19" s="10"/>
      <c r="FYI19" s="10"/>
      <c r="FYJ19" s="10"/>
      <c r="FYK19" s="10"/>
      <c r="FYL19" s="10"/>
      <c r="FYM19" s="10"/>
      <c r="FYN19" s="10"/>
      <c r="FYO19" s="10"/>
      <c r="FYP19" s="10"/>
      <c r="FYQ19" s="10"/>
      <c r="FYR19" s="10"/>
      <c r="FYS19" s="10"/>
      <c r="FYT19" s="10"/>
      <c r="FYU19" s="10"/>
      <c r="FYV19" s="10"/>
      <c r="FYW19" s="10"/>
      <c r="FYX19" s="10"/>
      <c r="FYY19" s="10"/>
      <c r="FYZ19" s="10"/>
      <c r="FZA19" s="10"/>
      <c r="FZB19" s="10"/>
      <c r="FZC19" s="10"/>
      <c r="FZD19" s="10"/>
      <c r="FZE19" s="10"/>
      <c r="FZF19" s="10"/>
      <c r="FZG19" s="10"/>
      <c r="FZH19" s="10"/>
      <c r="FZI19" s="10"/>
      <c r="FZJ19" s="10"/>
      <c r="FZK19" s="10"/>
      <c r="FZL19" s="10"/>
      <c r="FZM19" s="10"/>
      <c r="FZN19" s="10"/>
      <c r="FZO19" s="10"/>
      <c r="FZP19" s="10"/>
      <c r="FZQ19" s="10"/>
      <c r="FZR19" s="10"/>
      <c r="FZS19" s="10"/>
      <c r="FZT19" s="10"/>
      <c r="FZU19" s="10"/>
      <c r="FZV19" s="10"/>
      <c r="FZW19" s="10"/>
      <c r="FZX19" s="10"/>
      <c r="FZY19" s="10"/>
      <c r="FZZ19" s="10"/>
      <c r="GAA19" s="10"/>
      <c r="GAB19" s="10"/>
      <c r="GAC19" s="10"/>
      <c r="GAD19" s="10"/>
      <c r="GAE19" s="10"/>
      <c r="GAF19" s="10"/>
      <c r="GAG19" s="10"/>
      <c r="GAH19" s="10"/>
      <c r="GAI19" s="10"/>
      <c r="GAJ19" s="10"/>
      <c r="GAK19" s="10"/>
      <c r="GAL19" s="10"/>
      <c r="GAM19" s="10"/>
      <c r="GAN19" s="10"/>
      <c r="GAO19" s="10"/>
      <c r="GAP19" s="10"/>
      <c r="GAQ19" s="10"/>
      <c r="GAR19" s="10"/>
      <c r="GAS19" s="10"/>
      <c r="GAT19" s="10"/>
      <c r="GAU19" s="10"/>
      <c r="GAV19" s="10"/>
      <c r="GAW19" s="10"/>
      <c r="GAX19" s="10"/>
      <c r="GAY19" s="10"/>
      <c r="GAZ19" s="10"/>
      <c r="GBA19" s="10"/>
      <c r="GBB19" s="10"/>
      <c r="GBC19" s="10"/>
      <c r="GBD19" s="10"/>
      <c r="GBE19" s="10"/>
      <c r="GBF19" s="10"/>
      <c r="GBG19" s="10"/>
      <c r="GBH19" s="10"/>
      <c r="GBI19" s="10"/>
      <c r="GBJ19" s="10"/>
      <c r="GBK19" s="10"/>
      <c r="GBL19" s="10"/>
      <c r="GBM19" s="10"/>
      <c r="GBN19" s="10"/>
      <c r="GBO19" s="10"/>
      <c r="GBP19" s="10"/>
      <c r="GBQ19" s="10"/>
      <c r="GBR19" s="10"/>
      <c r="GBS19" s="10"/>
      <c r="GBT19" s="10"/>
      <c r="GBU19" s="10"/>
      <c r="GBV19" s="10"/>
      <c r="GBW19" s="10"/>
      <c r="GBX19" s="10"/>
      <c r="GBY19" s="10"/>
      <c r="GBZ19" s="10"/>
      <c r="GCA19" s="10"/>
      <c r="GCB19" s="10"/>
      <c r="GCC19" s="10"/>
      <c r="GCD19" s="10"/>
      <c r="GCE19" s="10"/>
      <c r="GCF19" s="10"/>
      <c r="GCG19" s="10"/>
      <c r="GCH19" s="10"/>
      <c r="GCI19" s="10"/>
      <c r="GCJ19" s="10"/>
      <c r="GCK19" s="10"/>
      <c r="GCL19" s="10"/>
      <c r="GCM19" s="10"/>
      <c r="GCN19" s="10"/>
      <c r="GCO19" s="10"/>
      <c r="GCP19" s="10"/>
      <c r="GCQ19" s="10"/>
      <c r="GCR19" s="10"/>
      <c r="GCS19" s="10"/>
      <c r="GCT19" s="10"/>
      <c r="GCU19" s="10"/>
      <c r="GCV19" s="10"/>
      <c r="GCW19" s="10"/>
      <c r="GCX19" s="10"/>
      <c r="GCY19" s="10"/>
      <c r="GCZ19" s="10"/>
      <c r="GDA19" s="10"/>
      <c r="GDB19" s="10"/>
      <c r="GDC19" s="10"/>
      <c r="GDD19" s="10"/>
      <c r="GDE19" s="10"/>
      <c r="GDF19" s="10"/>
      <c r="GDG19" s="10"/>
      <c r="GDH19" s="10"/>
      <c r="GDI19" s="10"/>
      <c r="GDJ19" s="10"/>
      <c r="GDK19" s="10"/>
      <c r="GDL19" s="10"/>
      <c r="GDM19" s="10"/>
      <c r="GDN19" s="10"/>
      <c r="GDO19" s="10"/>
      <c r="GDP19" s="10"/>
      <c r="GDQ19" s="10"/>
      <c r="GDR19" s="10"/>
      <c r="GDS19" s="10"/>
      <c r="GDT19" s="10"/>
      <c r="GDU19" s="10"/>
      <c r="GDV19" s="10"/>
      <c r="GDW19" s="10"/>
      <c r="GDX19" s="10"/>
      <c r="GDY19" s="10"/>
      <c r="GDZ19" s="10"/>
      <c r="GEA19" s="10"/>
      <c r="GEB19" s="10"/>
      <c r="GEC19" s="10"/>
      <c r="GED19" s="10"/>
      <c r="GEE19" s="10"/>
      <c r="GEF19" s="10"/>
      <c r="GEG19" s="10"/>
      <c r="GEH19" s="10"/>
      <c r="GEI19" s="10"/>
      <c r="GEJ19" s="10"/>
      <c r="GEK19" s="10"/>
      <c r="GEL19" s="10"/>
      <c r="GEM19" s="10"/>
      <c r="GEN19" s="10"/>
      <c r="GEO19" s="10"/>
      <c r="GEP19" s="10"/>
      <c r="GEQ19" s="10"/>
      <c r="GER19" s="10"/>
      <c r="GES19" s="10"/>
      <c r="GET19" s="10"/>
      <c r="GEU19" s="10"/>
      <c r="GEV19" s="10"/>
      <c r="GEW19" s="10"/>
      <c r="GEX19" s="10"/>
      <c r="GEY19" s="10"/>
      <c r="GEZ19" s="10"/>
      <c r="GFA19" s="10"/>
      <c r="GFB19" s="10"/>
      <c r="GFC19" s="10"/>
      <c r="GFD19" s="10"/>
      <c r="GFE19" s="10"/>
      <c r="GFF19" s="10"/>
      <c r="GFG19" s="10"/>
      <c r="GFH19" s="10"/>
      <c r="GFI19" s="10"/>
      <c r="GFJ19" s="10"/>
      <c r="GFK19" s="10"/>
      <c r="GFL19" s="10"/>
      <c r="GFM19" s="10"/>
      <c r="GFN19" s="10"/>
      <c r="GFO19" s="10"/>
      <c r="GFP19" s="10"/>
      <c r="GFQ19" s="10"/>
      <c r="GFR19" s="10"/>
      <c r="GFS19" s="10"/>
      <c r="GFT19" s="10"/>
      <c r="GFU19" s="10"/>
      <c r="GFV19" s="10"/>
      <c r="GFW19" s="10"/>
      <c r="GFX19" s="10"/>
      <c r="GFY19" s="10"/>
      <c r="GFZ19" s="10"/>
      <c r="GGA19" s="10"/>
      <c r="GGB19" s="10"/>
      <c r="GGC19" s="10"/>
      <c r="GGD19" s="10"/>
      <c r="GGE19" s="10"/>
      <c r="GGF19" s="10"/>
      <c r="GGG19" s="10"/>
      <c r="GGH19" s="10"/>
      <c r="GGI19" s="10"/>
      <c r="GGJ19" s="10"/>
      <c r="GGK19" s="10"/>
      <c r="GGL19" s="10"/>
      <c r="GGM19" s="10"/>
      <c r="GGN19" s="10"/>
      <c r="GGO19" s="10"/>
      <c r="GGP19" s="10"/>
      <c r="GGQ19" s="10"/>
      <c r="GGR19" s="10"/>
      <c r="GGS19" s="10"/>
      <c r="GGT19" s="10"/>
      <c r="GGU19" s="10"/>
      <c r="GGV19" s="10"/>
      <c r="GGW19" s="10"/>
      <c r="GGX19" s="10"/>
      <c r="GGY19" s="10"/>
      <c r="GGZ19" s="10"/>
      <c r="GHA19" s="10"/>
      <c r="GHB19" s="10"/>
      <c r="GHC19" s="10"/>
      <c r="GHD19" s="10"/>
      <c r="GHE19" s="10"/>
      <c r="GHF19" s="10"/>
      <c r="GHG19" s="10"/>
      <c r="GHH19" s="10"/>
      <c r="GHI19" s="10"/>
      <c r="GHJ19" s="10"/>
      <c r="GHK19" s="10"/>
      <c r="GHL19" s="10"/>
      <c r="GHM19" s="10"/>
      <c r="GHN19" s="10"/>
      <c r="GHO19" s="10"/>
      <c r="GHP19" s="10"/>
      <c r="GHQ19" s="10"/>
      <c r="GHR19" s="10"/>
      <c r="GHS19" s="10"/>
      <c r="GHT19" s="10"/>
      <c r="GHU19" s="10"/>
      <c r="GHV19" s="10"/>
      <c r="GHW19" s="10"/>
      <c r="GHX19" s="10"/>
      <c r="GHY19" s="10"/>
      <c r="GHZ19" s="10"/>
      <c r="GIA19" s="10"/>
      <c r="GIB19" s="10"/>
      <c r="GIC19" s="10"/>
      <c r="GID19" s="10"/>
      <c r="GIE19" s="10"/>
      <c r="GIF19" s="10"/>
      <c r="GIG19" s="10"/>
      <c r="GIH19" s="10"/>
      <c r="GII19" s="10"/>
      <c r="GIJ19" s="10"/>
      <c r="GIK19" s="10"/>
      <c r="GIL19" s="10"/>
      <c r="GIM19" s="10"/>
      <c r="GIN19" s="10"/>
      <c r="GIO19" s="10"/>
      <c r="GIP19" s="10"/>
      <c r="GIQ19" s="10"/>
      <c r="GIR19" s="10"/>
      <c r="GIS19" s="10"/>
      <c r="GIT19" s="10"/>
      <c r="GIU19" s="10"/>
      <c r="GIV19" s="10"/>
      <c r="GIW19" s="10"/>
      <c r="GIX19" s="10"/>
      <c r="GIY19" s="10"/>
      <c r="GIZ19" s="10"/>
      <c r="GJA19" s="10"/>
      <c r="GJB19" s="10"/>
      <c r="GJC19" s="10"/>
      <c r="GJD19" s="10"/>
      <c r="GJE19" s="10"/>
      <c r="GJF19" s="10"/>
      <c r="GJG19" s="10"/>
      <c r="GJH19" s="10"/>
      <c r="GJI19" s="10"/>
      <c r="GJJ19" s="10"/>
      <c r="GJK19" s="10"/>
      <c r="GJL19" s="10"/>
      <c r="GJM19" s="10"/>
      <c r="GJN19" s="10"/>
      <c r="GJO19" s="10"/>
      <c r="GJP19" s="10"/>
      <c r="GJQ19" s="10"/>
      <c r="GJR19" s="10"/>
      <c r="GJS19" s="10"/>
      <c r="GJT19" s="10"/>
      <c r="GJU19" s="10"/>
      <c r="GJV19" s="10"/>
      <c r="GJW19" s="10"/>
      <c r="GJX19" s="10"/>
      <c r="GJY19" s="10"/>
      <c r="GJZ19" s="10"/>
      <c r="GKA19" s="10"/>
      <c r="GKB19" s="10"/>
      <c r="GKC19" s="10"/>
      <c r="GKD19" s="10"/>
      <c r="GKE19" s="10"/>
      <c r="GKF19" s="10"/>
      <c r="GKG19" s="10"/>
      <c r="GKH19" s="10"/>
      <c r="GKI19" s="10"/>
      <c r="GKJ19" s="10"/>
      <c r="GKK19" s="10"/>
      <c r="GKL19" s="10"/>
      <c r="GKM19" s="10"/>
      <c r="GKN19" s="10"/>
      <c r="GKO19" s="10"/>
      <c r="GKP19" s="10"/>
      <c r="GKQ19" s="10"/>
      <c r="GKR19" s="10"/>
      <c r="GKS19" s="10"/>
      <c r="GKT19" s="10"/>
      <c r="GKU19" s="10"/>
      <c r="GKV19" s="10"/>
      <c r="GKW19" s="10"/>
      <c r="GKX19" s="10"/>
      <c r="GKY19" s="10"/>
      <c r="GKZ19" s="10"/>
      <c r="GLA19" s="10"/>
      <c r="GLB19" s="10"/>
      <c r="GLC19" s="10"/>
      <c r="GLD19" s="10"/>
      <c r="GLE19" s="10"/>
      <c r="GLF19" s="10"/>
      <c r="GLG19" s="10"/>
      <c r="GLH19" s="10"/>
      <c r="GLI19" s="10"/>
      <c r="GLJ19" s="10"/>
      <c r="GLK19" s="10"/>
      <c r="GLL19" s="10"/>
      <c r="GLM19" s="10"/>
      <c r="GLN19" s="10"/>
      <c r="GLO19" s="10"/>
      <c r="GLP19" s="10"/>
      <c r="GLQ19" s="10"/>
      <c r="GLR19" s="10"/>
      <c r="GLS19" s="10"/>
      <c r="GLT19" s="10"/>
      <c r="GLU19" s="10"/>
      <c r="GLV19" s="10"/>
      <c r="GLW19" s="10"/>
      <c r="GLX19" s="10"/>
      <c r="GLY19" s="10"/>
      <c r="GLZ19" s="10"/>
      <c r="GMA19" s="10"/>
      <c r="GMB19" s="10"/>
      <c r="GMC19" s="10"/>
      <c r="GMD19" s="10"/>
      <c r="GME19" s="10"/>
      <c r="GMF19" s="10"/>
      <c r="GMG19" s="10"/>
      <c r="GMH19" s="10"/>
      <c r="GMI19" s="10"/>
      <c r="GMJ19" s="10"/>
      <c r="GMK19" s="10"/>
      <c r="GML19" s="10"/>
      <c r="GMM19" s="10"/>
      <c r="GMN19" s="10"/>
      <c r="GMO19" s="10"/>
      <c r="GMP19" s="10"/>
      <c r="GMQ19" s="10"/>
      <c r="GMR19" s="10"/>
      <c r="GMS19" s="10"/>
      <c r="GMT19" s="10"/>
      <c r="GMU19" s="10"/>
      <c r="GMV19" s="10"/>
      <c r="GMW19" s="10"/>
      <c r="GMX19" s="10"/>
      <c r="GMY19" s="10"/>
      <c r="GMZ19" s="10"/>
      <c r="GNA19" s="10"/>
      <c r="GNB19" s="10"/>
      <c r="GNC19" s="10"/>
      <c r="GND19" s="10"/>
      <c r="GNE19" s="10"/>
      <c r="GNF19" s="10"/>
      <c r="GNG19" s="10"/>
      <c r="GNH19" s="10"/>
      <c r="GNI19" s="10"/>
      <c r="GNJ19" s="10"/>
      <c r="GNK19" s="10"/>
      <c r="GNL19" s="10"/>
      <c r="GNM19" s="10"/>
      <c r="GNN19" s="10"/>
      <c r="GNO19" s="10"/>
      <c r="GNP19" s="10"/>
      <c r="GNQ19" s="10"/>
      <c r="GNR19" s="10"/>
      <c r="GNS19" s="10"/>
      <c r="GNT19" s="10"/>
      <c r="GNU19" s="10"/>
      <c r="GNV19" s="10"/>
      <c r="GNW19" s="10"/>
      <c r="GNX19" s="10"/>
      <c r="GNY19" s="10"/>
      <c r="GNZ19" s="10"/>
      <c r="GOA19" s="10"/>
      <c r="GOB19" s="10"/>
      <c r="GOC19" s="10"/>
      <c r="GOD19" s="10"/>
      <c r="GOE19" s="10"/>
      <c r="GOF19" s="10"/>
      <c r="GOG19" s="10"/>
      <c r="GOH19" s="10"/>
      <c r="GOI19" s="10"/>
      <c r="GOJ19" s="10"/>
      <c r="GOK19" s="10"/>
      <c r="GOL19" s="10"/>
      <c r="GOM19" s="10"/>
      <c r="GON19" s="10"/>
      <c r="GOO19" s="10"/>
      <c r="GOP19" s="10"/>
      <c r="GOQ19" s="10"/>
      <c r="GOR19" s="10"/>
      <c r="GOS19" s="10"/>
      <c r="GOT19" s="10"/>
      <c r="GOU19" s="10"/>
      <c r="GOV19" s="10"/>
      <c r="GOW19" s="10"/>
      <c r="GOX19" s="10"/>
      <c r="GOY19" s="10"/>
      <c r="GOZ19" s="10"/>
      <c r="GPA19" s="10"/>
      <c r="GPB19" s="10"/>
      <c r="GPC19" s="10"/>
      <c r="GPD19" s="10"/>
      <c r="GPE19" s="10"/>
      <c r="GPF19" s="10"/>
      <c r="GPG19" s="10"/>
      <c r="GPH19" s="10"/>
      <c r="GPI19" s="10"/>
      <c r="GPJ19" s="10"/>
      <c r="GPK19" s="10"/>
      <c r="GPL19" s="10"/>
      <c r="GPM19" s="10"/>
      <c r="GPN19" s="10"/>
      <c r="GPO19" s="10"/>
      <c r="GPP19" s="10"/>
      <c r="GPQ19" s="10"/>
      <c r="GPR19" s="10"/>
      <c r="GPS19" s="10"/>
      <c r="GPT19" s="10"/>
      <c r="GPU19" s="10"/>
      <c r="GPV19" s="10"/>
      <c r="GPW19" s="10"/>
      <c r="GPX19" s="10"/>
      <c r="GPY19" s="10"/>
      <c r="GPZ19" s="10"/>
      <c r="GQA19" s="10"/>
      <c r="GQB19" s="10"/>
      <c r="GQC19" s="10"/>
      <c r="GQD19" s="10"/>
      <c r="GQE19" s="10"/>
      <c r="GQF19" s="10"/>
      <c r="GQG19" s="10"/>
      <c r="GQH19" s="10"/>
      <c r="GQI19" s="10"/>
      <c r="GQJ19" s="10"/>
      <c r="GQK19" s="10"/>
      <c r="GQL19" s="10"/>
      <c r="GQM19" s="10"/>
      <c r="GQN19" s="10"/>
      <c r="GQO19" s="10"/>
      <c r="GQP19" s="10"/>
      <c r="GQQ19" s="10"/>
      <c r="GQR19" s="10"/>
      <c r="GQS19" s="10"/>
      <c r="GQT19" s="10"/>
      <c r="GQU19" s="10"/>
      <c r="GQV19" s="10"/>
      <c r="GQW19" s="10"/>
      <c r="GQX19" s="10"/>
      <c r="GQY19" s="10"/>
      <c r="GQZ19" s="10"/>
      <c r="GRA19" s="10"/>
      <c r="GRB19" s="10"/>
      <c r="GRC19" s="10"/>
      <c r="GRD19" s="10"/>
      <c r="GRE19" s="10"/>
      <c r="GRF19" s="10"/>
      <c r="GRG19" s="10"/>
      <c r="GRH19" s="10"/>
      <c r="GRI19" s="10"/>
      <c r="GRJ19" s="10"/>
      <c r="GRK19" s="10"/>
      <c r="GRL19" s="10"/>
      <c r="GRM19" s="10"/>
      <c r="GRN19" s="10"/>
      <c r="GRO19" s="10"/>
      <c r="GRP19" s="10"/>
      <c r="GRQ19" s="10"/>
      <c r="GRR19" s="10"/>
      <c r="GRS19" s="10"/>
      <c r="GRT19" s="10"/>
      <c r="GRU19" s="10"/>
      <c r="GRV19" s="10"/>
      <c r="GRW19" s="10"/>
      <c r="GRX19" s="10"/>
      <c r="GRY19" s="10"/>
      <c r="GRZ19" s="10"/>
      <c r="GSA19" s="10"/>
      <c r="GSB19" s="10"/>
      <c r="GSC19" s="10"/>
      <c r="GSD19" s="10"/>
      <c r="GSE19" s="10"/>
      <c r="GSF19" s="10"/>
      <c r="GSG19" s="10"/>
      <c r="GSH19" s="10"/>
      <c r="GSI19" s="10"/>
      <c r="GSJ19" s="10"/>
      <c r="GSK19" s="10"/>
      <c r="GSL19" s="10"/>
      <c r="GSM19" s="10"/>
      <c r="GSN19" s="10"/>
      <c r="GSO19" s="10"/>
      <c r="GSP19" s="10"/>
      <c r="GSQ19" s="10"/>
      <c r="GSR19" s="10"/>
      <c r="GSS19" s="10"/>
      <c r="GST19" s="10"/>
      <c r="GSU19" s="10"/>
      <c r="GSV19" s="10"/>
      <c r="GSW19" s="10"/>
      <c r="GSX19" s="10"/>
      <c r="GSY19" s="10"/>
      <c r="GSZ19" s="10"/>
      <c r="GTA19" s="10"/>
      <c r="GTB19" s="10"/>
      <c r="GTC19" s="10"/>
      <c r="GTD19" s="10"/>
      <c r="GTE19" s="10"/>
      <c r="GTF19" s="10"/>
      <c r="GTG19" s="10"/>
      <c r="GTH19" s="10"/>
      <c r="GTI19" s="10"/>
      <c r="GTJ19" s="10"/>
      <c r="GTK19" s="10"/>
      <c r="GTL19" s="10"/>
      <c r="GTM19" s="10"/>
      <c r="GTN19" s="10"/>
      <c r="GTO19" s="10"/>
      <c r="GTP19" s="10"/>
      <c r="GTQ19" s="10"/>
      <c r="GTR19" s="10"/>
      <c r="GTS19" s="10"/>
      <c r="GTT19" s="10"/>
      <c r="GTU19" s="10"/>
      <c r="GTV19" s="10"/>
      <c r="GTW19" s="10"/>
      <c r="GTX19" s="10"/>
      <c r="GTY19" s="10"/>
      <c r="GTZ19" s="10"/>
      <c r="GUA19" s="10"/>
      <c r="GUB19" s="10"/>
      <c r="GUC19" s="10"/>
      <c r="GUD19" s="10"/>
      <c r="GUE19" s="10"/>
      <c r="GUF19" s="10"/>
      <c r="GUG19" s="10"/>
      <c r="GUH19" s="10"/>
      <c r="GUI19" s="10"/>
      <c r="GUJ19" s="10"/>
      <c r="GUK19" s="10"/>
      <c r="GUL19" s="10"/>
      <c r="GUM19" s="10"/>
      <c r="GUN19" s="10"/>
      <c r="GUO19" s="10"/>
      <c r="GUP19" s="10"/>
      <c r="GUQ19" s="10"/>
      <c r="GUR19" s="10"/>
      <c r="GUS19" s="10"/>
      <c r="GUT19" s="10"/>
      <c r="GUU19" s="10"/>
      <c r="GUV19" s="10"/>
      <c r="GUW19" s="10"/>
      <c r="GUX19" s="10"/>
      <c r="GUY19" s="10"/>
      <c r="GUZ19" s="10"/>
      <c r="GVA19" s="10"/>
      <c r="GVB19" s="10"/>
      <c r="GVC19" s="10"/>
      <c r="GVD19" s="10"/>
      <c r="GVE19" s="10"/>
      <c r="GVF19" s="10"/>
      <c r="GVG19" s="10"/>
      <c r="GVH19" s="10"/>
      <c r="GVI19" s="10"/>
      <c r="GVJ19" s="10"/>
      <c r="GVK19" s="10"/>
      <c r="GVL19" s="10"/>
      <c r="GVM19" s="10"/>
      <c r="GVN19" s="10"/>
      <c r="GVO19" s="10"/>
      <c r="GVP19" s="10"/>
      <c r="GVQ19" s="10"/>
      <c r="GVR19" s="10"/>
      <c r="GVS19" s="10"/>
      <c r="GVT19" s="10"/>
      <c r="GVU19" s="10"/>
      <c r="GVV19" s="10"/>
      <c r="GVW19" s="10"/>
      <c r="GVX19" s="10"/>
      <c r="GVY19" s="10"/>
      <c r="GVZ19" s="10"/>
      <c r="GWA19" s="10"/>
      <c r="GWB19" s="10"/>
      <c r="GWC19" s="10"/>
      <c r="GWD19" s="10"/>
      <c r="GWE19" s="10"/>
      <c r="GWF19" s="10"/>
      <c r="GWG19" s="10"/>
      <c r="GWH19" s="10"/>
      <c r="GWI19" s="10"/>
      <c r="GWJ19" s="10"/>
      <c r="GWK19" s="10"/>
      <c r="GWL19" s="10"/>
      <c r="GWM19" s="10"/>
      <c r="GWN19" s="10"/>
      <c r="GWO19" s="10"/>
      <c r="GWP19" s="10"/>
      <c r="GWQ19" s="10"/>
      <c r="GWR19" s="10"/>
      <c r="GWS19" s="10"/>
      <c r="GWT19" s="10"/>
      <c r="GWU19" s="10"/>
      <c r="GWV19" s="10"/>
      <c r="GWW19" s="10"/>
      <c r="GWX19" s="10"/>
      <c r="GWY19" s="10"/>
      <c r="GWZ19" s="10"/>
      <c r="GXA19" s="10"/>
      <c r="GXB19" s="10"/>
      <c r="GXC19" s="10"/>
      <c r="GXD19" s="10"/>
      <c r="GXE19" s="10"/>
      <c r="GXF19" s="10"/>
      <c r="GXG19" s="10"/>
      <c r="GXH19" s="10"/>
      <c r="GXI19" s="10"/>
      <c r="GXJ19" s="10"/>
      <c r="GXK19" s="10"/>
      <c r="GXL19" s="10"/>
      <c r="GXM19" s="10"/>
      <c r="GXN19" s="10"/>
      <c r="GXO19" s="10"/>
      <c r="GXP19" s="10"/>
      <c r="GXQ19" s="10"/>
      <c r="GXR19" s="10"/>
      <c r="GXS19" s="10"/>
      <c r="GXT19" s="10"/>
      <c r="GXU19" s="10"/>
      <c r="GXV19" s="10"/>
      <c r="GXW19" s="10"/>
      <c r="GXX19" s="10"/>
      <c r="GXY19" s="10"/>
      <c r="GXZ19" s="10"/>
      <c r="GYA19" s="10"/>
      <c r="GYB19" s="10"/>
      <c r="GYC19" s="10"/>
      <c r="GYD19" s="10"/>
      <c r="GYE19" s="10"/>
      <c r="GYF19" s="10"/>
      <c r="GYG19" s="10"/>
      <c r="GYH19" s="10"/>
      <c r="GYI19" s="10"/>
      <c r="GYJ19" s="10"/>
      <c r="GYK19" s="10"/>
      <c r="GYL19" s="10"/>
      <c r="GYM19" s="10"/>
      <c r="GYN19" s="10"/>
      <c r="GYO19" s="10"/>
      <c r="GYP19" s="10"/>
      <c r="GYQ19" s="10"/>
      <c r="GYR19" s="10"/>
      <c r="GYS19" s="10"/>
      <c r="GYT19" s="10"/>
      <c r="GYU19" s="10"/>
      <c r="GYV19" s="10"/>
      <c r="GYW19" s="10"/>
      <c r="GYX19" s="10"/>
      <c r="GYY19" s="10"/>
      <c r="GYZ19" s="10"/>
      <c r="GZA19" s="10"/>
      <c r="GZB19" s="10"/>
      <c r="GZC19" s="10"/>
      <c r="GZD19" s="10"/>
      <c r="GZE19" s="10"/>
      <c r="GZF19" s="10"/>
      <c r="GZG19" s="10"/>
      <c r="GZH19" s="10"/>
      <c r="GZI19" s="10"/>
      <c r="GZJ19" s="10"/>
      <c r="GZK19" s="10"/>
      <c r="GZL19" s="10"/>
      <c r="GZM19" s="10"/>
      <c r="GZN19" s="10"/>
      <c r="GZO19" s="10"/>
      <c r="GZP19" s="10"/>
      <c r="GZQ19" s="10"/>
      <c r="GZR19" s="10"/>
      <c r="GZS19" s="10"/>
      <c r="GZT19" s="10"/>
      <c r="GZU19" s="10"/>
      <c r="GZV19" s="10"/>
      <c r="GZW19" s="10"/>
      <c r="GZX19" s="10"/>
      <c r="GZY19" s="10"/>
      <c r="GZZ19" s="10"/>
      <c r="HAA19" s="10"/>
      <c r="HAB19" s="10"/>
      <c r="HAC19" s="10"/>
      <c r="HAD19" s="10"/>
      <c r="HAE19" s="10"/>
      <c r="HAF19" s="10"/>
      <c r="HAG19" s="10"/>
      <c r="HAH19" s="10"/>
      <c r="HAI19" s="10"/>
      <c r="HAJ19" s="10"/>
      <c r="HAK19" s="10"/>
      <c r="HAL19" s="10"/>
      <c r="HAM19" s="10"/>
      <c r="HAN19" s="10"/>
      <c r="HAO19" s="10"/>
      <c r="HAP19" s="10"/>
      <c r="HAQ19" s="10"/>
      <c r="HAR19" s="10"/>
      <c r="HAS19" s="10"/>
      <c r="HAT19" s="10"/>
      <c r="HAU19" s="10"/>
      <c r="HAV19" s="10"/>
      <c r="HAW19" s="10"/>
      <c r="HAX19" s="10"/>
      <c r="HAY19" s="10"/>
      <c r="HAZ19" s="10"/>
      <c r="HBA19" s="10"/>
      <c r="HBB19" s="10"/>
      <c r="HBC19" s="10"/>
      <c r="HBD19" s="10"/>
      <c r="HBE19" s="10"/>
      <c r="HBF19" s="10"/>
      <c r="HBG19" s="10"/>
      <c r="HBH19" s="10"/>
      <c r="HBI19" s="10"/>
      <c r="HBJ19" s="10"/>
      <c r="HBK19" s="10"/>
      <c r="HBL19" s="10"/>
      <c r="HBM19" s="10"/>
      <c r="HBN19" s="10"/>
      <c r="HBO19" s="10"/>
      <c r="HBP19" s="10"/>
      <c r="HBQ19" s="10"/>
      <c r="HBR19" s="10"/>
      <c r="HBS19" s="10"/>
      <c r="HBT19" s="10"/>
      <c r="HBU19" s="10"/>
      <c r="HBV19" s="10"/>
      <c r="HBW19" s="10"/>
      <c r="HBX19" s="10"/>
      <c r="HBY19" s="10"/>
      <c r="HBZ19" s="10"/>
      <c r="HCA19" s="10"/>
      <c r="HCB19" s="10"/>
      <c r="HCC19" s="10"/>
      <c r="HCD19" s="10"/>
      <c r="HCE19" s="10"/>
      <c r="HCF19" s="10"/>
      <c r="HCG19" s="10"/>
      <c r="HCH19" s="10"/>
      <c r="HCI19" s="10"/>
      <c r="HCJ19" s="10"/>
      <c r="HCK19" s="10"/>
      <c r="HCL19" s="10"/>
      <c r="HCM19" s="10"/>
      <c r="HCN19" s="10"/>
      <c r="HCO19" s="10"/>
      <c r="HCP19" s="10"/>
      <c r="HCQ19" s="10"/>
      <c r="HCR19" s="10"/>
      <c r="HCS19" s="10"/>
      <c r="HCT19" s="10"/>
      <c r="HCU19" s="10"/>
      <c r="HCV19" s="10"/>
      <c r="HCW19" s="10"/>
      <c r="HCX19" s="10"/>
      <c r="HCY19" s="10"/>
      <c r="HCZ19" s="10"/>
      <c r="HDA19" s="10"/>
      <c r="HDB19" s="10"/>
      <c r="HDC19" s="10"/>
      <c r="HDD19" s="10"/>
      <c r="HDE19" s="10"/>
      <c r="HDF19" s="10"/>
      <c r="HDG19" s="10"/>
      <c r="HDH19" s="10"/>
      <c r="HDI19" s="10"/>
      <c r="HDJ19" s="10"/>
      <c r="HDK19" s="10"/>
      <c r="HDL19" s="10"/>
      <c r="HDM19" s="10"/>
      <c r="HDN19" s="10"/>
      <c r="HDO19" s="10"/>
      <c r="HDP19" s="10"/>
      <c r="HDQ19" s="10"/>
      <c r="HDR19" s="10"/>
      <c r="HDS19" s="10"/>
      <c r="HDT19" s="10"/>
      <c r="HDU19" s="10"/>
      <c r="HDV19" s="10"/>
      <c r="HDW19" s="10"/>
      <c r="HDX19" s="10"/>
      <c r="HDY19" s="10"/>
      <c r="HDZ19" s="10"/>
      <c r="HEA19" s="10"/>
      <c r="HEB19" s="10"/>
      <c r="HEC19" s="10"/>
      <c r="HED19" s="10"/>
      <c r="HEE19" s="10"/>
      <c r="HEF19" s="10"/>
      <c r="HEG19" s="10"/>
      <c r="HEH19" s="10"/>
      <c r="HEI19" s="10"/>
      <c r="HEJ19" s="10"/>
      <c r="HEK19" s="10"/>
      <c r="HEL19" s="10"/>
      <c r="HEM19" s="10"/>
      <c r="HEN19" s="10"/>
      <c r="HEO19" s="10"/>
      <c r="HEP19" s="10"/>
      <c r="HEQ19" s="10"/>
      <c r="HER19" s="10"/>
      <c r="HES19" s="10"/>
      <c r="HET19" s="10"/>
      <c r="HEU19" s="10"/>
      <c r="HEV19" s="10"/>
      <c r="HEW19" s="10"/>
      <c r="HEX19" s="10"/>
      <c r="HEY19" s="10"/>
      <c r="HEZ19" s="10"/>
      <c r="HFA19" s="10"/>
      <c r="HFB19" s="10"/>
      <c r="HFC19" s="10"/>
      <c r="HFD19" s="10"/>
      <c r="HFE19" s="10"/>
      <c r="HFF19" s="10"/>
      <c r="HFG19" s="10"/>
      <c r="HFH19" s="10"/>
      <c r="HFI19" s="10"/>
      <c r="HFJ19" s="10"/>
      <c r="HFK19" s="10"/>
      <c r="HFL19" s="10"/>
      <c r="HFM19" s="10"/>
      <c r="HFN19" s="10"/>
      <c r="HFO19" s="10"/>
      <c r="HFP19" s="10"/>
      <c r="HFQ19" s="10"/>
      <c r="HFR19" s="10"/>
      <c r="HFS19" s="10"/>
      <c r="HFT19" s="10"/>
      <c r="HFU19" s="10"/>
      <c r="HFV19" s="10"/>
      <c r="HFW19" s="10"/>
      <c r="HFX19" s="10"/>
      <c r="HFY19" s="10"/>
      <c r="HFZ19" s="10"/>
      <c r="HGA19" s="10"/>
      <c r="HGB19" s="10"/>
      <c r="HGC19" s="10"/>
      <c r="HGD19" s="10"/>
      <c r="HGE19" s="10"/>
      <c r="HGF19" s="10"/>
      <c r="HGG19" s="10"/>
      <c r="HGH19" s="10"/>
      <c r="HGI19" s="10"/>
      <c r="HGJ19" s="10"/>
      <c r="HGK19" s="10"/>
      <c r="HGL19" s="10"/>
      <c r="HGM19" s="10"/>
      <c r="HGN19" s="10"/>
      <c r="HGO19" s="10"/>
      <c r="HGP19" s="10"/>
      <c r="HGQ19" s="10"/>
      <c r="HGR19" s="10"/>
      <c r="HGS19" s="10"/>
      <c r="HGT19" s="10"/>
      <c r="HGU19" s="10"/>
      <c r="HGV19" s="10"/>
      <c r="HGW19" s="10"/>
      <c r="HGX19" s="10"/>
      <c r="HGY19" s="10"/>
      <c r="HGZ19" s="10"/>
      <c r="HHA19" s="10"/>
      <c r="HHB19" s="10"/>
      <c r="HHC19" s="10"/>
      <c r="HHD19" s="10"/>
      <c r="HHE19" s="10"/>
      <c r="HHF19" s="10"/>
      <c r="HHG19" s="10"/>
      <c r="HHH19" s="10"/>
      <c r="HHI19" s="10"/>
      <c r="HHJ19" s="10"/>
      <c r="HHK19" s="10"/>
      <c r="HHL19" s="10"/>
      <c r="HHM19" s="10"/>
      <c r="HHN19" s="10"/>
      <c r="HHO19" s="10"/>
      <c r="HHP19" s="10"/>
      <c r="HHQ19" s="10"/>
      <c r="HHR19" s="10"/>
      <c r="HHS19" s="10"/>
      <c r="HHT19" s="10"/>
      <c r="HHU19" s="10"/>
      <c r="HHV19" s="10"/>
      <c r="HHW19" s="10"/>
      <c r="HHX19" s="10"/>
      <c r="HHY19" s="10"/>
      <c r="HHZ19" s="10"/>
      <c r="HIA19" s="10"/>
      <c r="HIB19" s="10"/>
      <c r="HIC19" s="10"/>
      <c r="HID19" s="10"/>
      <c r="HIE19" s="10"/>
      <c r="HIF19" s="10"/>
      <c r="HIG19" s="10"/>
      <c r="HIH19" s="10"/>
      <c r="HII19" s="10"/>
      <c r="HIJ19" s="10"/>
      <c r="HIK19" s="10"/>
      <c r="HIL19" s="10"/>
      <c r="HIM19" s="10"/>
      <c r="HIN19" s="10"/>
      <c r="HIO19" s="10"/>
      <c r="HIP19" s="10"/>
      <c r="HIQ19" s="10"/>
      <c r="HIR19" s="10"/>
      <c r="HIS19" s="10"/>
      <c r="HIT19" s="10"/>
      <c r="HIU19" s="10"/>
      <c r="HIV19" s="10"/>
      <c r="HIW19" s="10"/>
      <c r="HIX19" s="10"/>
      <c r="HIY19" s="10"/>
      <c r="HIZ19" s="10"/>
      <c r="HJA19" s="10"/>
      <c r="HJB19" s="10"/>
      <c r="HJC19" s="10"/>
      <c r="HJD19" s="10"/>
      <c r="HJE19" s="10"/>
      <c r="HJF19" s="10"/>
      <c r="HJG19" s="10"/>
      <c r="HJH19" s="10"/>
      <c r="HJI19" s="10"/>
      <c r="HJJ19" s="10"/>
      <c r="HJK19" s="10"/>
      <c r="HJL19" s="10"/>
      <c r="HJM19" s="10"/>
      <c r="HJN19" s="10"/>
      <c r="HJO19" s="10"/>
      <c r="HJP19" s="10"/>
      <c r="HJQ19" s="10"/>
      <c r="HJR19" s="10"/>
      <c r="HJS19" s="10"/>
      <c r="HJT19" s="10"/>
      <c r="HJU19" s="10"/>
      <c r="HJV19" s="10"/>
      <c r="HJW19" s="10"/>
      <c r="HJX19" s="10"/>
      <c r="HJY19" s="10"/>
      <c r="HJZ19" s="10"/>
      <c r="HKA19" s="10"/>
      <c r="HKB19" s="10"/>
      <c r="HKC19" s="10"/>
      <c r="HKD19" s="10"/>
      <c r="HKE19" s="10"/>
      <c r="HKF19" s="10"/>
      <c r="HKG19" s="10"/>
      <c r="HKH19" s="10"/>
      <c r="HKI19" s="10"/>
      <c r="HKJ19" s="10"/>
      <c r="HKK19" s="10"/>
      <c r="HKL19" s="10"/>
      <c r="HKM19" s="10"/>
      <c r="HKN19" s="10"/>
      <c r="HKO19" s="10"/>
      <c r="HKP19" s="10"/>
      <c r="HKQ19" s="10"/>
      <c r="HKR19" s="10"/>
      <c r="HKS19" s="10"/>
      <c r="HKT19" s="10"/>
      <c r="HKU19" s="10"/>
      <c r="HKV19" s="10"/>
      <c r="HKW19" s="10"/>
      <c r="HKX19" s="10"/>
      <c r="HKY19" s="10"/>
      <c r="HKZ19" s="10"/>
      <c r="HLA19" s="10"/>
      <c r="HLB19" s="10"/>
      <c r="HLC19" s="10"/>
      <c r="HLD19" s="10"/>
      <c r="HLE19" s="10"/>
      <c r="HLF19" s="10"/>
      <c r="HLG19" s="10"/>
      <c r="HLH19" s="10"/>
      <c r="HLI19" s="10"/>
      <c r="HLJ19" s="10"/>
      <c r="HLK19" s="10"/>
      <c r="HLL19" s="10"/>
      <c r="HLM19" s="10"/>
      <c r="HLN19" s="10"/>
      <c r="HLO19" s="10"/>
      <c r="HLP19" s="10"/>
      <c r="HLQ19" s="10"/>
      <c r="HLR19" s="10"/>
      <c r="HLS19" s="10"/>
      <c r="HLT19" s="10"/>
      <c r="HLU19" s="10"/>
      <c r="HLV19" s="10"/>
      <c r="HLW19" s="10"/>
      <c r="HLX19" s="10"/>
      <c r="HLY19" s="10"/>
      <c r="HLZ19" s="10"/>
      <c r="HMA19" s="10"/>
      <c r="HMB19" s="10"/>
      <c r="HMC19" s="10"/>
      <c r="HMD19" s="10"/>
      <c r="HME19" s="10"/>
      <c r="HMF19" s="10"/>
      <c r="HMG19" s="10"/>
      <c r="HMH19" s="10"/>
      <c r="HMI19" s="10"/>
      <c r="HMJ19" s="10"/>
      <c r="HMK19" s="10"/>
      <c r="HML19" s="10"/>
      <c r="HMM19" s="10"/>
      <c r="HMN19" s="10"/>
      <c r="HMO19" s="10"/>
      <c r="HMP19" s="10"/>
      <c r="HMQ19" s="10"/>
      <c r="HMR19" s="10"/>
      <c r="HMS19" s="10"/>
      <c r="HMT19" s="10"/>
      <c r="HMU19" s="10"/>
      <c r="HMV19" s="10"/>
      <c r="HMW19" s="10"/>
      <c r="HMX19" s="10"/>
      <c r="HMY19" s="10"/>
      <c r="HMZ19" s="10"/>
      <c r="HNA19" s="10"/>
      <c r="HNB19" s="10"/>
      <c r="HNC19" s="10"/>
      <c r="HND19" s="10"/>
      <c r="HNE19" s="10"/>
      <c r="HNF19" s="10"/>
      <c r="HNG19" s="10"/>
      <c r="HNH19" s="10"/>
      <c r="HNI19" s="10"/>
      <c r="HNJ19" s="10"/>
      <c r="HNK19" s="10"/>
      <c r="HNL19" s="10"/>
      <c r="HNM19" s="10"/>
      <c r="HNN19" s="10"/>
      <c r="HNO19" s="10"/>
      <c r="HNP19" s="10"/>
      <c r="HNQ19" s="10"/>
      <c r="HNR19" s="10"/>
      <c r="HNS19" s="10"/>
      <c r="HNT19" s="10"/>
      <c r="HNU19" s="10"/>
      <c r="HNV19" s="10"/>
      <c r="HNW19" s="10"/>
      <c r="HNX19" s="10"/>
      <c r="HNY19" s="10"/>
      <c r="HNZ19" s="10"/>
      <c r="HOA19" s="10"/>
      <c r="HOB19" s="10"/>
      <c r="HOC19" s="10"/>
      <c r="HOD19" s="10"/>
      <c r="HOE19" s="10"/>
      <c r="HOF19" s="10"/>
      <c r="HOG19" s="10"/>
      <c r="HOH19" s="10"/>
      <c r="HOI19" s="10"/>
      <c r="HOJ19" s="10"/>
      <c r="HOK19" s="10"/>
      <c r="HOL19" s="10"/>
      <c r="HOM19" s="10"/>
      <c r="HON19" s="10"/>
      <c r="HOO19" s="10"/>
      <c r="HOP19" s="10"/>
      <c r="HOQ19" s="10"/>
      <c r="HOR19" s="10"/>
      <c r="HOS19" s="10"/>
      <c r="HOT19" s="10"/>
      <c r="HOU19" s="10"/>
      <c r="HOV19" s="10"/>
      <c r="HOW19" s="10"/>
      <c r="HOX19" s="10"/>
      <c r="HOY19" s="10"/>
      <c r="HOZ19" s="10"/>
      <c r="HPA19" s="10"/>
      <c r="HPB19" s="10"/>
      <c r="HPC19" s="10"/>
      <c r="HPD19" s="10"/>
      <c r="HPE19" s="10"/>
      <c r="HPF19" s="10"/>
      <c r="HPG19" s="10"/>
      <c r="HPH19" s="10"/>
      <c r="HPI19" s="10"/>
      <c r="HPJ19" s="10"/>
      <c r="HPK19" s="10"/>
      <c r="HPL19" s="10"/>
      <c r="HPM19" s="10"/>
      <c r="HPN19" s="10"/>
      <c r="HPO19" s="10"/>
      <c r="HPP19" s="10"/>
      <c r="HPQ19" s="10"/>
      <c r="HPR19" s="10"/>
      <c r="HPS19" s="10"/>
      <c r="HPT19" s="10"/>
      <c r="HPU19" s="10"/>
      <c r="HPV19" s="10"/>
      <c r="HPW19" s="10"/>
      <c r="HPX19" s="10"/>
      <c r="HPY19" s="10"/>
      <c r="HPZ19" s="10"/>
      <c r="HQA19" s="10"/>
      <c r="HQB19" s="10"/>
      <c r="HQC19" s="10"/>
      <c r="HQD19" s="10"/>
      <c r="HQE19" s="10"/>
      <c r="HQF19" s="10"/>
      <c r="HQG19" s="10"/>
      <c r="HQH19" s="10"/>
      <c r="HQI19" s="10"/>
      <c r="HQJ19" s="10"/>
      <c r="HQK19" s="10"/>
      <c r="HQL19" s="10"/>
      <c r="HQM19" s="10"/>
      <c r="HQN19" s="10"/>
      <c r="HQO19" s="10"/>
      <c r="HQP19" s="10"/>
      <c r="HQQ19" s="10"/>
      <c r="HQR19" s="10"/>
      <c r="HQS19" s="10"/>
      <c r="HQT19" s="10"/>
      <c r="HQU19" s="10"/>
      <c r="HQV19" s="10"/>
      <c r="HQW19" s="10"/>
      <c r="HQX19" s="10"/>
      <c r="HQY19" s="10"/>
      <c r="HQZ19" s="10"/>
      <c r="HRA19" s="10"/>
      <c r="HRB19" s="10"/>
      <c r="HRC19" s="10"/>
      <c r="HRD19" s="10"/>
      <c r="HRE19" s="10"/>
      <c r="HRF19" s="10"/>
      <c r="HRG19" s="10"/>
      <c r="HRH19" s="10"/>
      <c r="HRI19" s="10"/>
      <c r="HRJ19" s="10"/>
      <c r="HRK19" s="10"/>
      <c r="HRL19" s="10"/>
      <c r="HRM19" s="10"/>
      <c r="HRN19" s="10"/>
      <c r="HRO19" s="10"/>
      <c r="HRP19" s="10"/>
      <c r="HRQ19" s="10"/>
      <c r="HRR19" s="10"/>
      <c r="HRS19" s="10"/>
      <c r="HRT19" s="10"/>
      <c r="HRU19" s="10"/>
      <c r="HRV19" s="10"/>
      <c r="HRW19" s="10"/>
      <c r="HRX19" s="10"/>
      <c r="HRY19" s="10"/>
      <c r="HRZ19" s="10"/>
      <c r="HSA19" s="10"/>
      <c r="HSB19" s="10"/>
      <c r="HSC19" s="10"/>
      <c r="HSD19" s="10"/>
      <c r="HSE19" s="10"/>
      <c r="HSF19" s="10"/>
      <c r="HSG19" s="10"/>
      <c r="HSH19" s="10"/>
      <c r="HSI19" s="10"/>
      <c r="HSJ19" s="10"/>
      <c r="HSK19" s="10"/>
      <c r="HSL19" s="10"/>
      <c r="HSM19" s="10"/>
      <c r="HSN19" s="10"/>
      <c r="HSO19" s="10"/>
      <c r="HSP19" s="10"/>
      <c r="HSQ19" s="10"/>
      <c r="HSR19" s="10"/>
      <c r="HSS19" s="10"/>
      <c r="HST19" s="10"/>
      <c r="HSU19" s="10"/>
      <c r="HSV19" s="10"/>
      <c r="HSW19" s="10"/>
      <c r="HSX19" s="10"/>
      <c r="HSY19" s="10"/>
      <c r="HSZ19" s="10"/>
      <c r="HTA19" s="10"/>
      <c r="HTB19" s="10"/>
      <c r="HTC19" s="10"/>
      <c r="HTD19" s="10"/>
      <c r="HTE19" s="10"/>
      <c r="HTF19" s="10"/>
      <c r="HTG19" s="10"/>
      <c r="HTH19" s="10"/>
      <c r="HTI19" s="10"/>
      <c r="HTJ19" s="10"/>
      <c r="HTK19" s="10"/>
      <c r="HTL19" s="10"/>
      <c r="HTM19" s="10"/>
      <c r="HTN19" s="10"/>
      <c r="HTO19" s="10"/>
      <c r="HTP19" s="10"/>
      <c r="HTQ19" s="10"/>
      <c r="HTR19" s="10"/>
      <c r="HTS19" s="10"/>
      <c r="HTT19" s="10"/>
      <c r="HTU19" s="10"/>
      <c r="HTV19" s="10"/>
      <c r="HTW19" s="10"/>
      <c r="HTX19" s="10"/>
      <c r="HTY19" s="10"/>
      <c r="HTZ19" s="10"/>
      <c r="HUA19" s="10"/>
      <c r="HUB19" s="10"/>
      <c r="HUC19" s="10"/>
      <c r="HUD19" s="10"/>
      <c r="HUE19" s="10"/>
      <c r="HUF19" s="10"/>
      <c r="HUG19" s="10"/>
      <c r="HUH19" s="10"/>
      <c r="HUI19" s="10"/>
      <c r="HUJ19" s="10"/>
      <c r="HUK19" s="10"/>
      <c r="HUL19" s="10"/>
      <c r="HUM19" s="10"/>
      <c r="HUN19" s="10"/>
      <c r="HUO19" s="10"/>
      <c r="HUP19" s="10"/>
      <c r="HUQ19" s="10"/>
      <c r="HUR19" s="10"/>
      <c r="HUS19" s="10"/>
      <c r="HUT19" s="10"/>
      <c r="HUU19" s="10"/>
      <c r="HUV19" s="10"/>
      <c r="HUW19" s="10"/>
      <c r="HUX19" s="10"/>
      <c r="HUY19" s="10"/>
      <c r="HUZ19" s="10"/>
      <c r="HVA19" s="10"/>
      <c r="HVB19" s="10"/>
      <c r="HVC19" s="10"/>
      <c r="HVD19" s="10"/>
      <c r="HVE19" s="10"/>
      <c r="HVF19" s="10"/>
      <c r="HVG19" s="10"/>
      <c r="HVH19" s="10"/>
      <c r="HVI19" s="10"/>
      <c r="HVJ19" s="10"/>
      <c r="HVK19" s="10"/>
      <c r="HVL19" s="10"/>
      <c r="HVM19" s="10"/>
      <c r="HVN19" s="10"/>
      <c r="HVO19" s="10"/>
      <c r="HVP19" s="10"/>
      <c r="HVQ19" s="10"/>
      <c r="HVR19" s="10"/>
      <c r="HVS19" s="10"/>
      <c r="HVT19" s="10"/>
      <c r="HVU19" s="10"/>
      <c r="HVV19" s="10"/>
      <c r="HVW19" s="10"/>
      <c r="HVX19" s="10"/>
      <c r="HVY19" s="10"/>
      <c r="HVZ19" s="10"/>
      <c r="HWA19" s="10"/>
      <c r="HWB19" s="10"/>
      <c r="HWC19" s="10"/>
      <c r="HWD19" s="10"/>
      <c r="HWE19" s="10"/>
      <c r="HWF19" s="10"/>
      <c r="HWG19" s="10"/>
      <c r="HWH19" s="10"/>
      <c r="HWI19" s="10"/>
      <c r="HWJ19" s="10"/>
      <c r="HWK19" s="10"/>
      <c r="HWL19" s="10"/>
      <c r="HWM19" s="10"/>
      <c r="HWN19" s="10"/>
      <c r="HWO19" s="10"/>
      <c r="HWP19" s="10"/>
      <c r="HWQ19" s="10"/>
      <c r="HWR19" s="10"/>
      <c r="HWS19" s="10"/>
      <c r="HWT19" s="10"/>
      <c r="HWU19" s="10"/>
      <c r="HWV19" s="10"/>
      <c r="HWW19" s="10"/>
      <c r="HWX19" s="10"/>
      <c r="HWY19" s="10"/>
      <c r="HWZ19" s="10"/>
      <c r="HXA19" s="10"/>
      <c r="HXB19" s="10"/>
      <c r="HXC19" s="10"/>
      <c r="HXD19" s="10"/>
      <c r="HXE19" s="10"/>
      <c r="HXF19" s="10"/>
      <c r="HXG19" s="10"/>
      <c r="HXH19" s="10"/>
      <c r="HXI19" s="10"/>
      <c r="HXJ19" s="10"/>
      <c r="HXK19" s="10"/>
      <c r="HXL19" s="10"/>
      <c r="HXM19" s="10"/>
      <c r="HXN19" s="10"/>
      <c r="HXO19" s="10"/>
      <c r="HXP19" s="10"/>
      <c r="HXQ19" s="10"/>
      <c r="HXR19" s="10"/>
      <c r="HXS19" s="10"/>
      <c r="HXT19" s="10"/>
      <c r="HXU19" s="10"/>
      <c r="HXV19" s="10"/>
      <c r="HXW19" s="10"/>
      <c r="HXX19" s="10"/>
      <c r="HXY19" s="10"/>
      <c r="HXZ19" s="10"/>
      <c r="HYA19" s="10"/>
      <c r="HYB19" s="10"/>
      <c r="HYC19" s="10"/>
      <c r="HYD19" s="10"/>
      <c r="HYE19" s="10"/>
      <c r="HYF19" s="10"/>
      <c r="HYG19" s="10"/>
      <c r="HYH19" s="10"/>
      <c r="HYI19" s="10"/>
      <c r="HYJ19" s="10"/>
      <c r="HYK19" s="10"/>
      <c r="HYL19" s="10"/>
      <c r="HYM19" s="10"/>
      <c r="HYN19" s="10"/>
      <c r="HYO19" s="10"/>
      <c r="HYP19" s="10"/>
      <c r="HYQ19" s="10"/>
      <c r="HYR19" s="10"/>
      <c r="HYS19" s="10"/>
      <c r="HYT19" s="10"/>
      <c r="HYU19" s="10"/>
      <c r="HYV19" s="10"/>
      <c r="HYW19" s="10"/>
      <c r="HYX19" s="10"/>
      <c r="HYY19" s="10"/>
      <c r="HYZ19" s="10"/>
      <c r="HZA19" s="10"/>
      <c r="HZB19" s="10"/>
      <c r="HZC19" s="10"/>
      <c r="HZD19" s="10"/>
      <c r="HZE19" s="10"/>
      <c r="HZF19" s="10"/>
      <c r="HZG19" s="10"/>
      <c r="HZH19" s="10"/>
      <c r="HZI19" s="10"/>
      <c r="HZJ19" s="10"/>
      <c r="HZK19" s="10"/>
      <c r="HZL19" s="10"/>
      <c r="HZM19" s="10"/>
      <c r="HZN19" s="10"/>
      <c r="HZO19" s="10"/>
      <c r="HZP19" s="10"/>
      <c r="HZQ19" s="10"/>
      <c r="HZR19" s="10"/>
      <c r="HZS19" s="10"/>
      <c r="HZT19" s="10"/>
      <c r="HZU19" s="10"/>
      <c r="HZV19" s="10"/>
      <c r="HZW19" s="10"/>
      <c r="HZX19" s="10"/>
      <c r="HZY19" s="10"/>
      <c r="HZZ19" s="10"/>
      <c r="IAA19" s="10"/>
      <c r="IAB19" s="10"/>
      <c r="IAC19" s="10"/>
      <c r="IAD19" s="10"/>
      <c r="IAE19" s="10"/>
      <c r="IAF19" s="10"/>
      <c r="IAG19" s="10"/>
      <c r="IAH19" s="10"/>
      <c r="IAI19" s="10"/>
      <c r="IAJ19" s="10"/>
      <c r="IAK19" s="10"/>
      <c r="IAL19" s="10"/>
      <c r="IAM19" s="10"/>
      <c r="IAN19" s="10"/>
      <c r="IAO19" s="10"/>
      <c r="IAP19" s="10"/>
      <c r="IAQ19" s="10"/>
      <c r="IAR19" s="10"/>
      <c r="IAS19" s="10"/>
      <c r="IAT19" s="10"/>
      <c r="IAU19" s="10"/>
      <c r="IAV19" s="10"/>
      <c r="IAW19" s="10"/>
      <c r="IAX19" s="10"/>
      <c r="IAY19" s="10"/>
      <c r="IAZ19" s="10"/>
      <c r="IBA19" s="10"/>
      <c r="IBB19" s="10"/>
      <c r="IBC19" s="10"/>
      <c r="IBD19" s="10"/>
      <c r="IBE19" s="10"/>
      <c r="IBF19" s="10"/>
      <c r="IBG19" s="10"/>
      <c r="IBH19" s="10"/>
      <c r="IBI19" s="10"/>
      <c r="IBJ19" s="10"/>
      <c r="IBK19" s="10"/>
      <c r="IBL19" s="10"/>
      <c r="IBM19" s="10"/>
      <c r="IBN19" s="10"/>
      <c r="IBO19" s="10"/>
      <c r="IBP19" s="10"/>
      <c r="IBQ19" s="10"/>
      <c r="IBR19" s="10"/>
      <c r="IBS19" s="10"/>
      <c r="IBT19" s="10"/>
      <c r="IBU19" s="10"/>
      <c r="IBV19" s="10"/>
      <c r="IBW19" s="10"/>
      <c r="IBX19" s="10"/>
      <c r="IBY19" s="10"/>
      <c r="IBZ19" s="10"/>
      <c r="ICA19" s="10"/>
      <c r="ICB19" s="10"/>
      <c r="ICC19" s="10"/>
      <c r="ICD19" s="10"/>
      <c r="ICE19" s="10"/>
      <c r="ICF19" s="10"/>
      <c r="ICG19" s="10"/>
      <c r="ICH19" s="10"/>
      <c r="ICI19" s="10"/>
      <c r="ICJ19" s="10"/>
      <c r="ICK19" s="10"/>
      <c r="ICL19" s="10"/>
      <c r="ICM19" s="10"/>
      <c r="ICN19" s="10"/>
      <c r="ICO19" s="10"/>
      <c r="ICP19" s="10"/>
      <c r="ICQ19" s="10"/>
      <c r="ICR19" s="10"/>
      <c r="ICS19" s="10"/>
      <c r="ICT19" s="10"/>
      <c r="ICU19" s="10"/>
      <c r="ICV19" s="10"/>
      <c r="ICW19" s="10"/>
      <c r="ICX19" s="10"/>
      <c r="ICY19" s="10"/>
      <c r="ICZ19" s="10"/>
      <c r="IDA19" s="10"/>
      <c r="IDB19" s="10"/>
      <c r="IDC19" s="10"/>
      <c r="IDD19" s="10"/>
      <c r="IDE19" s="10"/>
      <c r="IDF19" s="10"/>
      <c r="IDG19" s="10"/>
      <c r="IDH19" s="10"/>
      <c r="IDI19" s="10"/>
      <c r="IDJ19" s="10"/>
      <c r="IDK19" s="10"/>
      <c r="IDL19" s="10"/>
      <c r="IDM19" s="10"/>
      <c r="IDN19" s="10"/>
      <c r="IDO19" s="10"/>
      <c r="IDP19" s="10"/>
      <c r="IDQ19" s="10"/>
      <c r="IDR19" s="10"/>
      <c r="IDS19" s="10"/>
      <c r="IDT19" s="10"/>
      <c r="IDU19" s="10"/>
      <c r="IDV19" s="10"/>
      <c r="IDW19" s="10"/>
      <c r="IDX19" s="10"/>
      <c r="IDY19" s="10"/>
      <c r="IDZ19" s="10"/>
      <c r="IEA19" s="10"/>
      <c r="IEB19" s="10"/>
      <c r="IEC19" s="10"/>
      <c r="IED19" s="10"/>
      <c r="IEE19" s="10"/>
      <c r="IEF19" s="10"/>
      <c r="IEG19" s="10"/>
      <c r="IEH19" s="10"/>
      <c r="IEI19" s="10"/>
      <c r="IEJ19" s="10"/>
      <c r="IEK19" s="10"/>
      <c r="IEL19" s="10"/>
      <c r="IEM19" s="10"/>
      <c r="IEN19" s="10"/>
      <c r="IEO19" s="10"/>
      <c r="IEP19" s="10"/>
      <c r="IEQ19" s="10"/>
      <c r="IER19" s="10"/>
      <c r="IES19" s="10"/>
      <c r="IET19" s="10"/>
      <c r="IEU19" s="10"/>
      <c r="IEV19" s="10"/>
      <c r="IEW19" s="10"/>
      <c r="IEX19" s="10"/>
      <c r="IEY19" s="10"/>
      <c r="IEZ19" s="10"/>
      <c r="IFA19" s="10"/>
      <c r="IFB19" s="10"/>
      <c r="IFC19" s="10"/>
      <c r="IFD19" s="10"/>
      <c r="IFE19" s="10"/>
      <c r="IFF19" s="10"/>
      <c r="IFG19" s="10"/>
      <c r="IFH19" s="10"/>
      <c r="IFI19" s="10"/>
      <c r="IFJ19" s="10"/>
      <c r="IFK19" s="10"/>
      <c r="IFL19" s="10"/>
      <c r="IFM19" s="10"/>
      <c r="IFN19" s="10"/>
      <c r="IFO19" s="10"/>
      <c r="IFP19" s="10"/>
      <c r="IFQ19" s="10"/>
      <c r="IFR19" s="10"/>
      <c r="IFS19" s="10"/>
      <c r="IFT19" s="10"/>
      <c r="IFU19" s="10"/>
      <c r="IFV19" s="10"/>
      <c r="IFW19" s="10"/>
      <c r="IFX19" s="10"/>
      <c r="IFY19" s="10"/>
      <c r="IFZ19" s="10"/>
      <c r="IGA19" s="10"/>
      <c r="IGB19" s="10"/>
      <c r="IGC19" s="10"/>
      <c r="IGD19" s="10"/>
      <c r="IGE19" s="10"/>
      <c r="IGF19" s="10"/>
      <c r="IGG19" s="10"/>
      <c r="IGH19" s="10"/>
      <c r="IGI19" s="10"/>
      <c r="IGJ19" s="10"/>
      <c r="IGK19" s="10"/>
      <c r="IGL19" s="10"/>
      <c r="IGM19" s="10"/>
      <c r="IGN19" s="10"/>
      <c r="IGO19" s="10"/>
      <c r="IGP19" s="10"/>
      <c r="IGQ19" s="10"/>
      <c r="IGR19" s="10"/>
      <c r="IGS19" s="10"/>
      <c r="IGT19" s="10"/>
      <c r="IGU19" s="10"/>
      <c r="IGV19" s="10"/>
      <c r="IGW19" s="10"/>
      <c r="IGX19" s="10"/>
      <c r="IGY19" s="10"/>
      <c r="IGZ19" s="10"/>
      <c r="IHA19" s="10"/>
      <c r="IHB19" s="10"/>
      <c r="IHC19" s="10"/>
      <c r="IHD19" s="10"/>
      <c r="IHE19" s="10"/>
      <c r="IHF19" s="10"/>
      <c r="IHG19" s="10"/>
      <c r="IHH19" s="10"/>
      <c r="IHI19" s="10"/>
      <c r="IHJ19" s="10"/>
      <c r="IHK19" s="10"/>
      <c r="IHL19" s="10"/>
      <c r="IHM19" s="10"/>
      <c r="IHN19" s="10"/>
      <c r="IHO19" s="10"/>
      <c r="IHP19" s="10"/>
      <c r="IHQ19" s="10"/>
      <c r="IHR19" s="10"/>
      <c r="IHS19" s="10"/>
      <c r="IHT19" s="10"/>
      <c r="IHU19" s="10"/>
      <c r="IHV19" s="10"/>
      <c r="IHW19" s="10"/>
      <c r="IHX19" s="10"/>
      <c r="IHY19" s="10"/>
      <c r="IHZ19" s="10"/>
      <c r="IIA19" s="10"/>
      <c r="IIB19" s="10"/>
      <c r="IIC19" s="10"/>
      <c r="IID19" s="10"/>
      <c r="IIE19" s="10"/>
      <c r="IIF19" s="10"/>
      <c r="IIG19" s="10"/>
      <c r="IIH19" s="10"/>
      <c r="III19" s="10"/>
      <c r="IIJ19" s="10"/>
      <c r="IIK19" s="10"/>
      <c r="IIL19" s="10"/>
      <c r="IIM19" s="10"/>
      <c r="IIN19" s="10"/>
      <c r="IIO19" s="10"/>
      <c r="IIP19" s="10"/>
      <c r="IIQ19" s="10"/>
      <c r="IIR19" s="10"/>
      <c r="IIS19" s="10"/>
      <c r="IIT19" s="10"/>
      <c r="IIU19" s="10"/>
      <c r="IIV19" s="10"/>
      <c r="IIW19" s="10"/>
      <c r="IIX19" s="10"/>
      <c r="IIY19" s="10"/>
      <c r="IIZ19" s="10"/>
      <c r="IJA19" s="10"/>
      <c r="IJB19" s="10"/>
      <c r="IJC19" s="10"/>
      <c r="IJD19" s="10"/>
      <c r="IJE19" s="10"/>
      <c r="IJF19" s="10"/>
      <c r="IJG19" s="10"/>
      <c r="IJH19" s="10"/>
      <c r="IJI19" s="10"/>
      <c r="IJJ19" s="10"/>
      <c r="IJK19" s="10"/>
      <c r="IJL19" s="10"/>
      <c r="IJM19" s="10"/>
      <c r="IJN19" s="10"/>
      <c r="IJO19" s="10"/>
      <c r="IJP19" s="10"/>
      <c r="IJQ19" s="10"/>
      <c r="IJR19" s="10"/>
      <c r="IJS19" s="10"/>
      <c r="IJT19" s="10"/>
      <c r="IJU19" s="10"/>
      <c r="IJV19" s="10"/>
      <c r="IJW19" s="10"/>
      <c r="IJX19" s="10"/>
      <c r="IJY19" s="10"/>
      <c r="IJZ19" s="10"/>
      <c r="IKA19" s="10"/>
      <c r="IKB19" s="10"/>
      <c r="IKC19" s="10"/>
      <c r="IKD19" s="10"/>
      <c r="IKE19" s="10"/>
      <c r="IKF19" s="10"/>
      <c r="IKG19" s="10"/>
      <c r="IKH19" s="10"/>
      <c r="IKI19" s="10"/>
      <c r="IKJ19" s="10"/>
      <c r="IKK19" s="10"/>
      <c r="IKL19" s="10"/>
      <c r="IKM19" s="10"/>
      <c r="IKN19" s="10"/>
      <c r="IKO19" s="10"/>
      <c r="IKP19" s="10"/>
      <c r="IKQ19" s="10"/>
      <c r="IKR19" s="10"/>
      <c r="IKS19" s="10"/>
      <c r="IKT19" s="10"/>
      <c r="IKU19" s="10"/>
      <c r="IKV19" s="10"/>
      <c r="IKW19" s="10"/>
      <c r="IKX19" s="10"/>
      <c r="IKY19" s="10"/>
      <c r="IKZ19" s="10"/>
      <c r="ILA19" s="10"/>
      <c r="ILB19" s="10"/>
      <c r="ILC19" s="10"/>
      <c r="ILD19" s="10"/>
      <c r="ILE19" s="10"/>
      <c r="ILF19" s="10"/>
      <c r="ILG19" s="10"/>
      <c r="ILH19" s="10"/>
      <c r="ILI19" s="10"/>
      <c r="ILJ19" s="10"/>
      <c r="ILK19" s="10"/>
      <c r="ILL19" s="10"/>
      <c r="ILM19" s="10"/>
      <c r="ILN19" s="10"/>
      <c r="ILO19" s="10"/>
      <c r="ILP19" s="10"/>
      <c r="ILQ19" s="10"/>
      <c r="ILR19" s="10"/>
      <c r="ILS19" s="10"/>
      <c r="ILT19" s="10"/>
      <c r="ILU19" s="10"/>
      <c r="ILV19" s="10"/>
      <c r="ILW19" s="10"/>
      <c r="ILX19" s="10"/>
      <c r="ILY19" s="10"/>
      <c r="ILZ19" s="10"/>
      <c r="IMA19" s="10"/>
      <c r="IMB19" s="10"/>
      <c r="IMC19" s="10"/>
      <c r="IMD19" s="10"/>
      <c r="IME19" s="10"/>
      <c r="IMF19" s="10"/>
      <c r="IMG19" s="10"/>
      <c r="IMH19" s="10"/>
      <c r="IMI19" s="10"/>
      <c r="IMJ19" s="10"/>
      <c r="IMK19" s="10"/>
      <c r="IML19" s="10"/>
      <c r="IMM19" s="10"/>
      <c r="IMN19" s="10"/>
      <c r="IMO19" s="10"/>
      <c r="IMP19" s="10"/>
      <c r="IMQ19" s="10"/>
      <c r="IMR19" s="10"/>
      <c r="IMS19" s="10"/>
      <c r="IMT19" s="10"/>
      <c r="IMU19" s="10"/>
      <c r="IMV19" s="10"/>
      <c r="IMW19" s="10"/>
      <c r="IMX19" s="10"/>
      <c r="IMY19" s="10"/>
      <c r="IMZ19" s="10"/>
      <c r="INA19" s="10"/>
      <c r="INB19" s="10"/>
      <c r="INC19" s="10"/>
      <c r="IND19" s="10"/>
      <c r="INE19" s="10"/>
      <c r="INF19" s="10"/>
      <c r="ING19" s="10"/>
      <c r="INH19" s="10"/>
      <c r="INI19" s="10"/>
      <c r="INJ19" s="10"/>
      <c r="INK19" s="10"/>
      <c r="INL19" s="10"/>
      <c r="INM19" s="10"/>
      <c r="INN19" s="10"/>
      <c r="INO19" s="10"/>
      <c r="INP19" s="10"/>
      <c r="INQ19" s="10"/>
      <c r="INR19" s="10"/>
      <c r="INS19" s="10"/>
      <c r="INT19" s="10"/>
      <c r="INU19" s="10"/>
      <c r="INV19" s="10"/>
      <c r="INW19" s="10"/>
      <c r="INX19" s="10"/>
      <c r="INY19" s="10"/>
      <c r="INZ19" s="10"/>
      <c r="IOA19" s="10"/>
      <c r="IOB19" s="10"/>
      <c r="IOC19" s="10"/>
      <c r="IOD19" s="10"/>
      <c r="IOE19" s="10"/>
      <c r="IOF19" s="10"/>
      <c r="IOG19" s="10"/>
      <c r="IOH19" s="10"/>
      <c r="IOI19" s="10"/>
      <c r="IOJ19" s="10"/>
      <c r="IOK19" s="10"/>
      <c r="IOL19" s="10"/>
      <c r="IOM19" s="10"/>
      <c r="ION19" s="10"/>
      <c r="IOO19" s="10"/>
      <c r="IOP19" s="10"/>
      <c r="IOQ19" s="10"/>
      <c r="IOR19" s="10"/>
      <c r="IOS19" s="10"/>
      <c r="IOT19" s="10"/>
      <c r="IOU19" s="10"/>
      <c r="IOV19" s="10"/>
      <c r="IOW19" s="10"/>
      <c r="IOX19" s="10"/>
      <c r="IOY19" s="10"/>
      <c r="IOZ19" s="10"/>
      <c r="IPA19" s="10"/>
      <c r="IPB19" s="10"/>
      <c r="IPC19" s="10"/>
      <c r="IPD19" s="10"/>
      <c r="IPE19" s="10"/>
      <c r="IPF19" s="10"/>
      <c r="IPG19" s="10"/>
      <c r="IPH19" s="10"/>
      <c r="IPI19" s="10"/>
      <c r="IPJ19" s="10"/>
      <c r="IPK19" s="10"/>
      <c r="IPL19" s="10"/>
      <c r="IPM19" s="10"/>
      <c r="IPN19" s="10"/>
      <c r="IPO19" s="10"/>
      <c r="IPP19" s="10"/>
      <c r="IPQ19" s="10"/>
      <c r="IPR19" s="10"/>
      <c r="IPS19" s="10"/>
      <c r="IPT19" s="10"/>
      <c r="IPU19" s="10"/>
      <c r="IPV19" s="10"/>
      <c r="IPW19" s="10"/>
      <c r="IPX19" s="10"/>
      <c r="IPY19" s="10"/>
      <c r="IPZ19" s="10"/>
      <c r="IQA19" s="10"/>
      <c r="IQB19" s="10"/>
      <c r="IQC19" s="10"/>
      <c r="IQD19" s="10"/>
      <c r="IQE19" s="10"/>
      <c r="IQF19" s="10"/>
      <c r="IQG19" s="10"/>
      <c r="IQH19" s="10"/>
      <c r="IQI19" s="10"/>
      <c r="IQJ19" s="10"/>
      <c r="IQK19" s="10"/>
      <c r="IQL19" s="10"/>
      <c r="IQM19" s="10"/>
      <c r="IQN19" s="10"/>
      <c r="IQO19" s="10"/>
      <c r="IQP19" s="10"/>
      <c r="IQQ19" s="10"/>
      <c r="IQR19" s="10"/>
      <c r="IQS19" s="10"/>
      <c r="IQT19" s="10"/>
      <c r="IQU19" s="10"/>
      <c r="IQV19" s="10"/>
      <c r="IQW19" s="10"/>
      <c r="IQX19" s="10"/>
      <c r="IQY19" s="10"/>
      <c r="IQZ19" s="10"/>
      <c r="IRA19" s="10"/>
      <c r="IRB19" s="10"/>
      <c r="IRC19" s="10"/>
      <c r="IRD19" s="10"/>
      <c r="IRE19" s="10"/>
      <c r="IRF19" s="10"/>
      <c r="IRG19" s="10"/>
      <c r="IRH19" s="10"/>
      <c r="IRI19" s="10"/>
      <c r="IRJ19" s="10"/>
      <c r="IRK19" s="10"/>
      <c r="IRL19" s="10"/>
      <c r="IRM19" s="10"/>
      <c r="IRN19" s="10"/>
      <c r="IRO19" s="10"/>
      <c r="IRP19" s="10"/>
      <c r="IRQ19" s="10"/>
      <c r="IRR19" s="10"/>
      <c r="IRS19" s="10"/>
      <c r="IRT19" s="10"/>
      <c r="IRU19" s="10"/>
      <c r="IRV19" s="10"/>
      <c r="IRW19" s="10"/>
      <c r="IRX19" s="10"/>
      <c r="IRY19" s="10"/>
      <c r="IRZ19" s="10"/>
      <c r="ISA19" s="10"/>
      <c r="ISB19" s="10"/>
      <c r="ISC19" s="10"/>
      <c r="ISD19" s="10"/>
      <c r="ISE19" s="10"/>
      <c r="ISF19" s="10"/>
      <c r="ISG19" s="10"/>
      <c r="ISH19" s="10"/>
      <c r="ISI19" s="10"/>
      <c r="ISJ19" s="10"/>
      <c r="ISK19" s="10"/>
      <c r="ISL19" s="10"/>
      <c r="ISM19" s="10"/>
      <c r="ISN19" s="10"/>
      <c r="ISO19" s="10"/>
      <c r="ISP19" s="10"/>
      <c r="ISQ19" s="10"/>
      <c r="ISR19" s="10"/>
      <c r="ISS19" s="10"/>
      <c r="IST19" s="10"/>
      <c r="ISU19" s="10"/>
      <c r="ISV19" s="10"/>
      <c r="ISW19" s="10"/>
      <c r="ISX19" s="10"/>
      <c r="ISY19" s="10"/>
      <c r="ISZ19" s="10"/>
      <c r="ITA19" s="10"/>
      <c r="ITB19" s="10"/>
      <c r="ITC19" s="10"/>
      <c r="ITD19" s="10"/>
      <c r="ITE19" s="10"/>
      <c r="ITF19" s="10"/>
      <c r="ITG19" s="10"/>
      <c r="ITH19" s="10"/>
      <c r="ITI19" s="10"/>
      <c r="ITJ19" s="10"/>
      <c r="ITK19" s="10"/>
      <c r="ITL19" s="10"/>
      <c r="ITM19" s="10"/>
      <c r="ITN19" s="10"/>
      <c r="ITO19" s="10"/>
      <c r="ITP19" s="10"/>
      <c r="ITQ19" s="10"/>
      <c r="ITR19" s="10"/>
      <c r="ITS19" s="10"/>
      <c r="ITT19" s="10"/>
      <c r="ITU19" s="10"/>
      <c r="ITV19" s="10"/>
      <c r="ITW19" s="10"/>
      <c r="ITX19" s="10"/>
      <c r="ITY19" s="10"/>
      <c r="ITZ19" s="10"/>
      <c r="IUA19" s="10"/>
      <c r="IUB19" s="10"/>
      <c r="IUC19" s="10"/>
      <c r="IUD19" s="10"/>
      <c r="IUE19" s="10"/>
      <c r="IUF19" s="10"/>
      <c r="IUG19" s="10"/>
      <c r="IUH19" s="10"/>
      <c r="IUI19" s="10"/>
      <c r="IUJ19" s="10"/>
      <c r="IUK19" s="10"/>
      <c r="IUL19" s="10"/>
      <c r="IUM19" s="10"/>
      <c r="IUN19" s="10"/>
      <c r="IUO19" s="10"/>
      <c r="IUP19" s="10"/>
      <c r="IUQ19" s="10"/>
      <c r="IUR19" s="10"/>
      <c r="IUS19" s="10"/>
      <c r="IUT19" s="10"/>
      <c r="IUU19" s="10"/>
      <c r="IUV19" s="10"/>
      <c r="IUW19" s="10"/>
      <c r="IUX19" s="10"/>
      <c r="IUY19" s="10"/>
      <c r="IUZ19" s="10"/>
      <c r="IVA19" s="10"/>
      <c r="IVB19" s="10"/>
      <c r="IVC19" s="10"/>
      <c r="IVD19" s="10"/>
      <c r="IVE19" s="10"/>
      <c r="IVF19" s="10"/>
      <c r="IVG19" s="10"/>
      <c r="IVH19" s="10"/>
      <c r="IVI19" s="10"/>
      <c r="IVJ19" s="10"/>
      <c r="IVK19" s="10"/>
      <c r="IVL19" s="10"/>
      <c r="IVM19" s="10"/>
      <c r="IVN19" s="10"/>
      <c r="IVO19" s="10"/>
      <c r="IVP19" s="10"/>
      <c r="IVQ19" s="10"/>
      <c r="IVR19" s="10"/>
      <c r="IVS19" s="10"/>
      <c r="IVT19" s="10"/>
      <c r="IVU19" s="10"/>
      <c r="IVV19" s="10"/>
      <c r="IVW19" s="10"/>
      <c r="IVX19" s="10"/>
      <c r="IVY19" s="10"/>
      <c r="IVZ19" s="10"/>
      <c r="IWA19" s="10"/>
      <c r="IWB19" s="10"/>
      <c r="IWC19" s="10"/>
      <c r="IWD19" s="10"/>
      <c r="IWE19" s="10"/>
      <c r="IWF19" s="10"/>
      <c r="IWG19" s="10"/>
      <c r="IWH19" s="10"/>
      <c r="IWI19" s="10"/>
      <c r="IWJ19" s="10"/>
      <c r="IWK19" s="10"/>
      <c r="IWL19" s="10"/>
      <c r="IWM19" s="10"/>
      <c r="IWN19" s="10"/>
      <c r="IWO19" s="10"/>
      <c r="IWP19" s="10"/>
      <c r="IWQ19" s="10"/>
      <c r="IWR19" s="10"/>
      <c r="IWS19" s="10"/>
      <c r="IWT19" s="10"/>
      <c r="IWU19" s="10"/>
      <c r="IWV19" s="10"/>
      <c r="IWW19" s="10"/>
      <c r="IWX19" s="10"/>
      <c r="IWY19" s="10"/>
      <c r="IWZ19" s="10"/>
      <c r="IXA19" s="10"/>
      <c r="IXB19" s="10"/>
      <c r="IXC19" s="10"/>
      <c r="IXD19" s="10"/>
      <c r="IXE19" s="10"/>
      <c r="IXF19" s="10"/>
      <c r="IXG19" s="10"/>
      <c r="IXH19" s="10"/>
      <c r="IXI19" s="10"/>
      <c r="IXJ19" s="10"/>
      <c r="IXK19" s="10"/>
      <c r="IXL19" s="10"/>
      <c r="IXM19" s="10"/>
      <c r="IXN19" s="10"/>
      <c r="IXO19" s="10"/>
      <c r="IXP19" s="10"/>
      <c r="IXQ19" s="10"/>
      <c r="IXR19" s="10"/>
      <c r="IXS19" s="10"/>
      <c r="IXT19" s="10"/>
      <c r="IXU19" s="10"/>
      <c r="IXV19" s="10"/>
      <c r="IXW19" s="10"/>
      <c r="IXX19" s="10"/>
      <c r="IXY19" s="10"/>
      <c r="IXZ19" s="10"/>
      <c r="IYA19" s="10"/>
      <c r="IYB19" s="10"/>
      <c r="IYC19" s="10"/>
      <c r="IYD19" s="10"/>
      <c r="IYE19" s="10"/>
      <c r="IYF19" s="10"/>
      <c r="IYG19" s="10"/>
      <c r="IYH19" s="10"/>
      <c r="IYI19" s="10"/>
      <c r="IYJ19" s="10"/>
      <c r="IYK19" s="10"/>
      <c r="IYL19" s="10"/>
      <c r="IYM19" s="10"/>
      <c r="IYN19" s="10"/>
      <c r="IYO19" s="10"/>
      <c r="IYP19" s="10"/>
      <c r="IYQ19" s="10"/>
      <c r="IYR19" s="10"/>
      <c r="IYS19" s="10"/>
      <c r="IYT19" s="10"/>
      <c r="IYU19" s="10"/>
      <c r="IYV19" s="10"/>
      <c r="IYW19" s="10"/>
      <c r="IYX19" s="10"/>
      <c r="IYY19" s="10"/>
      <c r="IYZ19" s="10"/>
      <c r="IZA19" s="10"/>
      <c r="IZB19" s="10"/>
      <c r="IZC19" s="10"/>
      <c r="IZD19" s="10"/>
      <c r="IZE19" s="10"/>
      <c r="IZF19" s="10"/>
      <c r="IZG19" s="10"/>
      <c r="IZH19" s="10"/>
      <c r="IZI19" s="10"/>
      <c r="IZJ19" s="10"/>
      <c r="IZK19" s="10"/>
      <c r="IZL19" s="10"/>
      <c r="IZM19" s="10"/>
      <c r="IZN19" s="10"/>
      <c r="IZO19" s="10"/>
      <c r="IZP19" s="10"/>
      <c r="IZQ19" s="10"/>
      <c r="IZR19" s="10"/>
      <c r="IZS19" s="10"/>
      <c r="IZT19" s="10"/>
      <c r="IZU19" s="10"/>
      <c r="IZV19" s="10"/>
      <c r="IZW19" s="10"/>
      <c r="IZX19" s="10"/>
      <c r="IZY19" s="10"/>
      <c r="IZZ19" s="10"/>
      <c r="JAA19" s="10"/>
      <c r="JAB19" s="10"/>
      <c r="JAC19" s="10"/>
      <c r="JAD19" s="10"/>
      <c r="JAE19" s="10"/>
      <c r="JAF19" s="10"/>
      <c r="JAG19" s="10"/>
      <c r="JAH19" s="10"/>
      <c r="JAI19" s="10"/>
      <c r="JAJ19" s="10"/>
      <c r="JAK19" s="10"/>
      <c r="JAL19" s="10"/>
      <c r="JAM19" s="10"/>
      <c r="JAN19" s="10"/>
      <c r="JAO19" s="10"/>
      <c r="JAP19" s="10"/>
      <c r="JAQ19" s="10"/>
      <c r="JAR19" s="10"/>
      <c r="JAS19" s="10"/>
      <c r="JAT19" s="10"/>
      <c r="JAU19" s="10"/>
      <c r="JAV19" s="10"/>
      <c r="JAW19" s="10"/>
      <c r="JAX19" s="10"/>
      <c r="JAY19" s="10"/>
      <c r="JAZ19" s="10"/>
      <c r="JBA19" s="10"/>
      <c r="JBB19" s="10"/>
      <c r="JBC19" s="10"/>
      <c r="JBD19" s="10"/>
      <c r="JBE19" s="10"/>
      <c r="JBF19" s="10"/>
      <c r="JBG19" s="10"/>
      <c r="JBH19" s="10"/>
      <c r="JBI19" s="10"/>
      <c r="JBJ19" s="10"/>
      <c r="JBK19" s="10"/>
      <c r="JBL19" s="10"/>
      <c r="JBM19" s="10"/>
      <c r="JBN19" s="10"/>
      <c r="JBO19" s="10"/>
      <c r="JBP19" s="10"/>
      <c r="JBQ19" s="10"/>
      <c r="JBR19" s="10"/>
      <c r="JBS19" s="10"/>
      <c r="JBT19" s="10"/>
      <c r="JBU19" s="10"/>
      <c r="JBV19" s="10"/>
      <c r="JBW19" s="10"/>
      <c r="JBX19" s="10"/>
      <c r="JBY19" s="10"/>
      <c r="JBZ19" s="10"/>
      <c r="JCA19" s="10"/>
      <c r="JCB19" s="10"/>
      <c r="JCC19" s="10"/>
      <c r="JCD19" s="10"/>
      <c r="JCE19" s="10"/>
      <c r="JCF19" s="10"/>
      <c r="JCG19" s="10"/>
      <c r="JCH19" s="10"/>
      <c r="JCI19" s="10"/>
      <c r="JCJ19" s="10"/>
      <c r="JCK19" s="10"/>
      <c r="JCL19" s="10"/>
      <c r="JCM19" s="10"/>
      <c r="JCN19" s="10"/>
      <c r="JCO19" s="10"/>
      <c r="JCP19" s="10"/>
      <c r="JCQ19" s="10"/>
      <c r="JCR19" s="10"/>
      <c r="JCS19" s="10"/>
      <c r="JCT19" s="10"/>
      <c r="JCU19" s="10"/>
      <c r="JCV19" s="10"/>
      <c r="JCW19" s="10"/>
      <c r="JCX19" s="10"/>
      <c r="JCY19" s="10"/>
      <c r="JCZ19" s="10"/>
      <c r="JDA19" s="10"/>
      <c r="JDB19" s="10"/>
      <c r="JDC19" s="10"/>
      <c r="JDD19" s="10"/>
      <c r="JDE19" s="10"/>
      <c r="JDF19" s="10"/>
      <c r="JDG19" s="10"/>
      <c r="JDH19" s="10"/>
      <c r="JDI19" s="10"/>
      <c r="JDJ19" s="10"/>
      <c r="JDK19" s="10"/>
      <c r="JDL19" s="10"/>
      <c r="JDM19" s="10"/>
      <c r="JDN19" s="10"/>
      <c r="JDO19" s="10"/>
      <c r="JDP19" s="10"/>
      <c r="JDQ19" s="10"/>
      <c r="JDR19" s="10"/>
      <c r="JDS19" s="10"/>
      <c r="JDT19" s="10"/>
      <c r="JDU19" s="10"/>
      <c r="JDV19" s="10"/>
      <c r="JDW19" s="10"/>
      <c r="JDX19" s="10"/>
      <c r="JDY19" s="10"/>
      <c r="JDZ19" s="10"/>
      <c r="JEA19" s="10"/>
      <c r="JEB19" s="10"/>
      <c r="JEC19" s="10"/>
      <c r="JED19" s="10"/>
      <c r="JEE19" s="10"/>
      <c r="JEF19" s="10"/>
      <c r="JEG19" s="10"/>
      <c r="JEH19" s="10"/>
      <c r="JEI19" s="10"/>
      <c r="JEJ19" s="10"/>
      <c r="JEK19" s="10"/>
      <c r="JEL19" s="10"/>
      <c r="JEM19" s="10"/>
      <c r="JEN19" s="10"/>
      <c r="JEO19" s="10"/>
      <c r="JEP19" s="10"/>
      <c r="JEQ19" s="10"/>
      <c r="JER19" s="10"/>
      <c r="JES19" s="10"/>
      <c r="JET19" s="10"/>
      <c r="JEU19" s="10"/>
      <c r="JEV19" s="10"/>
      <c r="JEW19" s="10"/>
      <c r="JEX19" s="10"/>
      <c r="JEY19" s="10"/>
      <c r="JEZ19" s="10"/>
      <c r="JFA19" s="10"/>
      <c r="JFB19" s="10"/>
      <c r="JFC19" s="10"/>
      <c r="JFD19" s="10"/>
      <c r="JFE19" s="10"/>
      <c r="JFF19" s="10"/>
      <c r="JFG19" s="10"/>
      <c r="JFH19" s="10"/>
      <c r="JFI19" s="10"/>
      <c r="JFJ19" s="10"/>
      <c r="JFK19" s="10"/>
      <c r="JFL19" s="10"/>
      <c r="JFM19" s="10"/>
      <c r="JFN19" s="10"/>
      <c r="JFO19" s="10"/>
      <c r="JFP19" s="10"/>
      <c r="JFQ19" s="10"/>
      <c r="JFR19" s="10"/>
      <c r="JFS19" s="10"/>
      <c r="JFT19" s="10"/>
      <c r="JFU19" s="10"/>
      <c r="JFV19" s="10"/>
      <c r="JFW19" s="10"/>
      <c r="JFX19" s="10"/>
      <c r="JFY19" s="10"/>
      <c r="JFZ19" s="10"/>
      <c r="JGA19" s="10"/>
      <c r="JGB19" s="10"/>
      <c r="JGC19" s="10"/>
      <c r="JGD19" s="10"/>
      <c r="JGE19" s="10"/>
      <c r="JGF19" s="10"/>
      <c r="JGG19" s="10"/>
      <c r="JGH19" s="10"/>
      <c r="JGI19" s="10"/>
      <c r="JGJ19" s="10"/>
      <c r="JGK19" s="10"/>
      <c r="JGL19" s="10"/>
      <c r="JGM19" s="10"/>
      <c r="JGN19" s="10"/>
      <c r="JGO19" s="10"/>
      <c r="JGP19" s="10"/>
      <c r="JGQ19" s="10"/>
      <c r="JGR19" s="10"/>
      <c r="JGS19" s="10"/>
      <c r="JGT19" s="10"/>
      <c r="JGU19" s="10"/>
      <c r="JGV19" s="10"/>
      <c r="JGW19" s="10"/>
      <c r="JGX19" s="10"/>
      <c r="JGY19" s="10"/>
      <c r="JGZ19" s="10"/>
      <c r="JHA19" s="10"/>
      <c r="JHB19" s="10"/>
      <c r="JHC19" s="10"/>
      <c r="JHD19" s="10"/>
      <c r="JHE19" s="10"/>
      <c r="JHF19" s="10"/>
      <c r="JHG19" s="10"/>
      <c r="JHH19" s="10"/>
      <c r="JHI19" s="10"/>
      <c r="JHJ19" s="10"/>
      <c r="JHK19" s="10"/>
      <c r="JHL19" s="10"/>
      <c r="JHM19" s="10"/>
      <c r="JHN19" s="10"/>
      <c r="JHO19" s="10"/>
      <c r="JHP19" s="10"/>
      <c r="JHQ19" s="10"/>
      <c r="JHR19" s="10"/>
      <c r="JHS19" s="10"/>
      <c r="JHT19" s="10"/>
      <c r="JHU19" s="10"/>
      <c r="JHV19" s="10"/>
      <c r="JHW19" s="10"/>
      <c r="JHX19" s="10"/>
      <c r="JHY19" s="10"/>
      <c r="JHZ19" s="10"/>
      <c r="JIA19" s="10"/>
      <c r="JIB19" s="10"/>
      <c r="JIC19" s="10"/>
      <c r="JID19" s="10"/>
      <c r="JIE19" s="10"/>
      <c r="JIF19" s="10"/>
      <c r="JIG19" s="10"/>
      <c r="JIH19" s="10"/>
      <c r="JII19" s="10"/>
      <c r="JIJ19" s="10"/>
      <c r="JIK19" s="10"/>
      <c r="JIL19" s="10"/>
      <c r="JIM19" s="10"/>
      <c r="JIN19" s="10"/>
      <c r="JIO19" s="10"/>
      <c r="JIP19" s="10"/>
      <c r="JIQ19" s="10"/>
      <c r="JIR19" s="10"/>
      <c r="JIS19" s="10"/>
      <c r="JIT19" s="10"/>
      <c r="JIU19" s="10"/>
      <c r="JIV19" s="10"/>
      <c r="JIW19" s="10"/>
      <c r="JIX19" s="10"/>
      <c r="JIY19" s="10"/>
      <c r="JIZ19" s="10"/>
      <c r="JJA19" s="10"/>
      <c r="JJB19" s="10"/>
      <c r="JJC19" s="10"/>
      <c r="JJD19" s="10"/>
      <c r="JJE19" s="10"/>
      <c r="JJF19" s="10"/>
      <c r="JJG19" s="10"/>
      <c r="JJH19" s="10"/>
      <c r="JJI19" s="10"/>
      <c r="JJJ19" s="10"/>
      <c r="JJK19" s="10"/>
      <c r="JJL19" s="10"/>
      <c r="JJM19" s="10"/>
      <c r="JJN19" s="10"/>
      <c r="JJO19" s="10"/>
      <c r="JJP19" s="10"/>
      <c r="JJQ19" s="10"/>
      <c r="JJR19" s="10"/>
      <c r="JJS19" s="10"/>
      <c r="JJT19" s="10"/>
      <c r="JJU19" s="10"/>
      <c r="JJV19" s="10"/>
      <c r="JJW19" s="10"/>
      <c r="JJX19" s="10"/>
      <c r="JJY19" s="10"/>
      <c r="JJZ19" s="10"/>
      <c r="JKA19" s="10"/>
      <c r="JKB19" s="10"/>
      <c r="JKC19" s="10"/>
      <c r="JKD19" s="10"/>
      <c r="JKE19" s="10"/>
      <c r="JKF19" s="10"/>
      <c r="JKG19" s="10"/>
      <c r="JKH19" s="10"/>
      <c r="JKI19" s="10"/>
      <c r="JKJ19" s="10"/>
      <c r="JKK19" s="10"/>
      <c r="JKL19" s="10"/>
      <c r="JKM19" s="10"/>
      <c r="JKN19" s="10"/>
      <c r="JKO19" s="10"/>
      <c r="JKP19" s="10"/>
      <c r="JKQ19" s="10"/>
      <c r="JKR19" s="10"/>
      <c r="JKS19" s="10"/>
      <c r="JKT19" s="10"/>
      <c r="JKU19" s="10"/>
      <c r="JKV19" s="10"/>
      <c r="JKW19" s="10"/>
      <c r="JKX19" s="10"/>
      <c r="JKY19" s="10"/>
      <c r="JKZ19" s="10"/>
      <c r="JLA19" s="10"/>
      <c r="JLB19" s="10"/>
      <c r="JLC19" s="10"/>
      <c r="JLD19" s="10"/>
      <c r="JLE19" s="10"/>
      <c r="JLF19" s="10"/>
      <c r="JLG19" s="10"/>
      <c r="JLH19" s="10"/>
      <c r="JLI19" s="10"/>
      <c r="JLJ19" s="10"/>
      <c r="JLK19" s="10"/>
      <c r="JLL19" s="10"/>
      <c r="JLM19" s="10"/>
      <c r="JLN19" s="10"/>
      <c r="JLO19" s="10"/>
      <c r="JLP19" s="10"/>
      <c r="JLQ19" s="10"/>
      <c r="JLR19" s="10"/>
      <c r="JLS19" s="10"/>
      <c r="JLT19" s="10"/>
      <c r="JLU19" s="10"/>
      <c r="JLV19" s="10"/>
      <c r="JLW19" s="10"/>
      <c r="JLX19" s="10"/>
      <c r="JLY19" s="10"/>
      <c r="JLZ19" s="10"/>
      <c r="JMA19" s="10"/>
      <c r="JMB19" s="10"/>
      <c r="JMC19" s="10"/>
      <c r="JMD19" s="10"/>
      <c r="JME19" s="10"/>
      <c r="JMF19" s="10"/>
      <c r="JMG19" s="10"/>
      <c r="JMH19" s="10"/>
      <c r="JMI19" s="10"/>
      <c r="JMJ19" s="10"/>
      <c r="JMK19" s="10"/>
      <c r="JML19" s="10"/>
      <c r="JMM19" s="10"/>
      <c r="JMN19" s="10"/>
      <c r="JMO19" s="10"/>
      <c r="JMP19" s="10"/>
      <c r="JMQ19" s="10"/>
      <c r="JMR19" s="10"/>
      <c r="JMS19" s="10"/>
      <c r="JMT19" s="10"/>
      <c r="JMU19" s="10"/>
      <c r="JMV19" s="10"/>
      <c r="JMW19" s="10"/>
      <c r="JMX19" s="10"/>
      <c r="JMY19" s="10"/>
      <c r="JMZ19" s="10"/>
      <c r="JNA19" s="10"/>
      <c r="JNB19" s="10"/>
      <c r="JNC19" s="10"/>
      <c r="JND19" s="10"/>
      <c r="JNE19" s="10"/>
      <c r="JNF19" s="10"/>
      <c r="JNG19" s="10"/>
      <c r="JNH19" s="10"/>
      <c r="JNI19" s="10"/>
      <c r="JNJ19" s="10"/>
      <c r="JNK19" s="10"/>
      <c r="JNL19" s="10"/>
      <c r="JNM19" s="10"/>
      <c r="JNN19" s="10"/>
      <c r="JNO19" s="10"/>
      <c r="JNP19" s="10"/>
      <c r="JNQ19" s="10"/>
      <c r="JNR19" s="10"/>
      <c r="JNS19" s="10"/>
      <c r="JNT19" s="10"/>
      <c r="JNU19" s="10"/>
      <c r="JNV19" s="10"/>
      <c r="JNW19" s="10"/>
      <c r="JNX19" s="10"/>
      <c r="JNY19" s="10"/>
      <c r="JNZ19" s="10"/>
      <c r="JOA19" s="10"/>
      <c r="JOB19" s="10"/>
      <c r="JOC19" s="10"/>
      <c r="JOD19" s="10"/>
      <c r="JOE19" s="10"/>
      <c r="JOF19" s="10"/>
      <c r="JOG19" s="10"/>
      <c r="JOH19" s="10"/>
      <c r="JOI19" s="10"/>
      <c r="JOJ19" s="10"/>
      <c r="JOK19" s="10"/>
      <c r="JOL19" s="10"/>
      <c r="JOM19" s="10"/>
      <c r="JON19" s="10"/>
      <c r="JOO19" s="10"/>
      <c r="JOP19" s="10"/>
      <c r="JOQ19" s="10"/>
      <c r="JOR19" s="10"/>
      <c r="JOS19" s="10"/>
      <c r="JOT19" s="10"/>
      <c r="JOU19" s="10"/>
      <c r="JOV19" s="10"/>
      <c r="JOW19" s="10"/>
      <c r="JOX19" s="10"/>
      <c r="JOY19" s="10"/>
      <c r="JOZ19" s="10"/>
      <c r="JPA19" s="10"/>
      <c r="JPB19" s="10"/>
      <c r="JPC19" s="10"/>
      <c r="JPD19" s="10"/>
      <c r="JPE19" s="10"/>
      <c r="JPF19" s="10"/>
      <c r="JPG19" s="10"/>
      <c r="JPH19" s="10"/>
      <c r="JPI19" s="10"/>
      <c r="JPJ19" s="10"/>
      <c r="JPK19" s="10"/>
      <c r="JPL19" s="10"/>
      <c r="JPM19" s="10"/>
      <c r="JPN19" s="10"/>
      <c r="JPO19" s="10"/>
      <c r="JPP19" s="10"/>
      <c r="JPQ19" s="10"/>
      <c r="JPR19" s="10"/>
      <c r="JPS19" s="10"/>
      <c r="JPT19" s="10"/>
      <c r="JPU19" s="10"/>
      <c r="JPV19" s="10"/>
      <c r="JPW19" s="10"/>
      <c r="JPX19" s="10"/>
      <c r="JPY19" s="10"/>
      <c r="JPZ19" s="10"/>
      <c r="JQA19" s="10"/>
      <c r="JQB19" s="10"/>
      <c r="JQC19" s="10"/>
      <c r="JQD19" s="10"/>
      <c r="JQE19" s="10"/>
      <c r="JQF19" s="10"/>
      <c r="JQG19" s="10"/>
      <c r="JQH19" s="10"/>
      <c r="JQI19" s="10"/>
      <c r="JQJ19" s="10"/>
      <c r="JQK19" s="10"/>
      <c r="JQL19" s="10"/>
      <c r="JQM19" s="10"/>
      <c r="JQN19" s="10"/>
      <c r="JQO19" s="10"/>
      <c r="JQP19" s="10"/>
      <c r="JQQ19" s="10"/>
      <c r="JQR19" s="10"/>
      <c r="JQS19" s="10"/>
      <c r="JQT19" s="10"/>
      <c r="JQU19" s="10"/>
      <c r="JQV19" s="10"/>
      <c r="JQW19" s="10"/>
      <c r="JQX19" s="10"/>
      <c r="JQY19" s="10"/>
      <c r="JQZ19" s="10"/>
      <c r="JRA19" s="10"/>
      <c r="JRB19" s="10"/>
      <c r="JRC19" s="10"/>
      <c r="JRD19" s="10"/>
      <c r="JRE19" s="10"/>
      <c r="JRF19" s="10"/>
      <c r="JRG19" s="10"/>
      <c r="JRH19" s="10"/>
      <c r="JRI19" s="10"/>
      <c r="JRJ19" s="10"/>
      <c r="JRK19" s="10"/>
      <c r="JRL19" s="10"/>
      <c r="JRM19" s="10"/>
      <c r="JRN19" s="10"/>
      <c r="JRO19" s="10"/>
      <c r="JRP19" s="10"/>
      <c r="JRQ19" s="10"/>
      <c r="JRR19" s="10"/>
      <c r="JRS19" s="10"/>
      <c r="JRT19" s="10"/>
      <c r="JRU19" s="10"/>
      <c r="JRV19" s="10"/>
      <c r="JRW19" s="10"/>
      <c r="JRX19" s="10"/>
      <c r="JRY19" s="10"/>
      <c r="JRZ19" s="10"/>
      <c r="JSA19" s="10"/>
      <c r="JSB19" s="10"/>
      <c r="JSC19" s="10"/>
      <c r="JSD19" s="10"/>
      <c r="JSE19" s="10"/>
      <c r="JSF19" s="10"/>
      <c r="JSG19" s="10"/>
      <c r="JSH19" s="10"/>
      <c r="JSI19" s="10"/>
      <c r="JSJ19" s="10"/>
      <c r="JSK19" s="10"/>
      <c r="JSL19" s="10"/>
      <c r="JSM19" s="10"/>
      <c r="JSN19" s="10"/>
      <c r="JSO19" s="10"/>
      <c r="JSP19" s="10"/>
      <c r="JSQ19" s="10"/>
      <c r="JSR19" s="10"/>
      <c r="JSS19" s="10"/>
      <c r="JST19" s="10"/>
      <c r="JSU19" s="10"/>
      <c r="JSV19" s="10"/>
      <c r="JSW19" s="10"/>
      <c r="JSX19" s="10"/>
      <c r="JSY19" s="10"/>
      <c r="JSZ19" s="10"/>
      <c r="JTA19" s="10"/>
      <c r="JTB19" s="10"/>
      <c r="JTC19" s="10"/>
      <c r="JTD19" s="10"/>
      <c r="JTE19" s="10"/>
      <c r="JTF19" s="10"/>
      <c r="JTG19" s="10"/>
      <c r="JTH19" s="10"/>
      <c r="JTI19" s="10"/>
      <c r="JTJ19" s="10"/>
      <c r="JTK19" s="10"/>
      <c r="JTL19" s="10"/>
      <c r="JTM19" s="10"/>
      <c r="JTN19" s="10"/>
      <c r="JTO19" s="10"/>
      <c r="JTP19" s="10"/>
      <c r="JTQ19" s="10"/>
      <c r="JTR19" s="10"/>
      <c r="JTS19" s="10"/>
      <c r="JTT19" s="10"/>
      <c r="JTU19" s="10"/>
      <c r="JTV19" s="10"/>
      <c r="JTW19" s="10"/>
      <c r="JTX19" s="10"/>
      <c r="JTY19" s="10"/>
      <c r="JTZ19" s="10"/>
      <c r="JUA19" s="10"/>
      <c r="JUB19" s="10"/>
      <c r="JUC19" s="10"/>
      <c r="JUD19" s="10"/>
      <c r="JUE19" s="10"/>
      <c r="JUF19" s="10"/>
      <c r="JUG19" s="10"/>
      <c r="JUH19" s="10"/>
      <c r="JUI19" s="10"/>
      <c r="JUJ19" s="10"/>
      <c r="JUK19" s="10"/>
      <c r="JUL19" s="10"/>
      <c r="JUM19" s="10"/>
      <c r="JUN19" s="10"/>
      <c r="JUO19" s="10"/>
      <c r="JUP19" s="10"/>
      <c r="JUQ19" s="10"/>
      <c r="JUR19" s="10"/>
      <c r="JUS19" s="10"/>
      <c r="JUT19" s="10"/>
      <c r="JUU19" s="10"/>
      <c r="JUV19" s="10"/>
      <c r="JUW19" s="10"/>
      <c r="JUX19" s="10"/>
      <c r="JUY19" s="10"/>
      <c r="JUZ19" s="10"/>
      <c r="JVA19" s="10"/>
      <c r="JVB19" s="10"/>
      <c r="JVC19" s="10"/>
      <c r="JVD19" s="10"/>
      <c r="JVE19" s="10"/>
      <c r="JVF19" s="10"/>
      <c r="JVG19" s="10"/>
      <c r="JVH19" s="10"/>
      <c r="JVI19" s="10"/>
      <c r="JVJ19" s="10"/>
      <c r="JVK19" s="10"/>
      <c r="JVL19" s="10"/>
      <c r="JVM19" s="10"/>
      <c r="JVN19" s="10"/>
      <c r="JVO19" s="10"/>
      <c r="JVP19" s="10"/>
      <c r="JVQ19" s="10"/>
      <c r="JVR19" s="10"/>
      <c r="JVS19" s="10"/>
      <c r="JVT19" s="10"/>
      <c r="JVU19" s="10"/>
      <c r="JVV19" s="10"/>
      <c r="JVW19" s="10"/>
      <c r="JVX19" s="10"/>
      <c r="JVY19" s="10"/>
      <c r="JVZ19" s="10"/>
      <c r="JWA19" s="10"/>
      <c r="JWB19" s="10"/>
      <c r="JWC19" s="10"/>
      <c r="JWD19" s="10"/>
      <c r="JWE19" s="10"/>
      <c r="JWF19" s="10"/>
      <c r="JWG19" s="10"/>
      <c r="JWH19" s="10"/>
      <c r="JWI19" s="10"/>
      <c r="JWJ19" s="10"/>
      <c r="JWK19" s="10"/>
      <c r="JWL19" s="10"/>
      <c r="JWM19" s="10"/>
      <c r="JWN19" s="10"/>
      <c r="JWO19" s="10"/>
      <c r="JWP19" s="10"/>
      <c r="JWQ19" s="10"/>
      <c r="JWR19" s="10"/>
      <c r="JWS19" s="10"/>
      <c r="JWT19" s="10"/>
      <c r="JWU19" s="10"/>
      <c r="JWV19" s="10"/>
      <c r="JWW19" s="10"/>
      <c r="JWX19" s="10"/>
      <c r="JWY19" s="10"/>
      <c r="JWZ19" s="10"/>
      <c r="JXA19" s="10"/>
      <c r="JXB19" s="10"/>
      <c r="JXC19" s="10"/>
      <c r="JXD19" s="10"/>
      <c r="JXE19" s="10"/>
      <c r="JXF19" s="10"/>
      <c r="JXG19" s="10"/>
      <c r="JXH19" s="10"/>
      <c r="JXI19" s="10"/>
      <c r="JXJ19" s="10"/>
      <c r="JXK19" s="10"/>
      <c r="JXL19" s="10"/>
      <c r="JXM19" s="10"/>
      <c r="JXN19" s="10"/>
      <c r="JXO19" s="10"/>
      <c r="JXP19" s="10"/>
      <c r="JXQ19" s="10"/>
      <c r="JXR19" s="10"/>
      <c r="JXS19" s="10"/>
      <c r="JXT19" s="10"/>
      <c r="JXU19" s="10"/>
      <c r="JXV19" s="10"/>
      <c r="JXW19" s="10"/>
      <c r="JXX19" s="10"/>
      <c r="JXY19" s="10"/>
      <c r="JXZ19" s="10"/>
      <c r="JYA19" s="10"/>
      <c r="JYB19" s="10"/>
      <c r="JYC19" s="10"/>
      <c r="JYD19" s="10"/>
      <c r="JYE19" s="10"/>
      <c r="JYF19" s="10"/>
      <c r="JYG19" s="10"/>
      <c r="JYH19" s="10"/>
      <c r="JYI19" s="10"/>
      <c r="JYJ19" s="10"/>
      <c r="JYK19" s="10"/>
      <c r="JYL19" s="10"/>
      <c r="JYM19" s="10"/>
      <c r="JYN19" s="10"/>
      <c r="JYO19" s="10"/>
      <c r="JYP19" s="10"/>
      <c r="JYQ19" s="10"/>
      <c r="JYR19" s="10"/>
      <c r="JYS19" s="10"/>
      <c r="JYT19" s="10"/>
      <c r="JYU19" s="10"/>
      <c r="JYV19" s="10"/>
      <c r="JYW19" s="10"/>
      <c r="JYX19" s="10"/>
      <c r="JYY19" s="10"/>
      <c r="JYZ19" s="10"/>
      <c r="JZA19" s="10"/>
      <c r="JZB19" s="10"/>
      <c r="JZC19" s="10"/>
      <c r="JZD19" s="10"/>
      <c r="JZE19" s="10"/>
      <c r="JZF19" s="10"/>
      <c r="JZG19" s="10"/>
      <c r="JZH19" s="10"/>
      <c r="JZI19" s="10"/>
      <c r="JZJ19" s="10"/>
      <c r="JZK19" s="10"/>
      <c r="JZL19" s="10"/>
      <c r="JZM19" s="10"/>
      <c r="JZN19" s="10"/>
      <c r="JZO19" s="10"/>
      <c r="JZP19" s="10"/>
      <c r="JZQ19" s="10"/>
      <c r="JZR19" s="10"/>
      <c r="JZS19" s="10"/>
      <c r="JZT19" s="10"/>
      <c r="JZU19" s="10"/>
      <c r="JZV19" s="10"/>
      <c r="JZW19" s="10"/>
      <c r="JZX19" s="10"/>
      <c r="JZY19" s="10"/>
      <c r="JZZ19" s="10"/>
      <c r="KAA19" s="10"/>
      <c r="KAB19" s="10"/>
      <c r="KAC19" s="10"/>
      <c r="KAD19" s="10"/>
      <c r="KAE19" s="10"/>
      <c r="KAF19" s="10"/>
      <c r="KAG19" s="10"/>
      <c r="KAH19" s="10"/>
      <c r="KAI19" s="10"/>
      <c r="KAJ19" s="10"/>
      <c r="KAK19" s="10"/>
      <c r="KAL19" s="10"/>
      <c r="KAM19" s="10"/>
      <c r="KAN19" s="10"/>
      <c r="KAO19" s="10"/>
      <c r="KAP19" s="10"/>
      <c r="KAQ19" s="10"/>
      <c r="KAR19" s="10"/>
      <c r="KAS19" s="10"/>
      <c r="KAT19" s="10"/>
      <c r="KAU19" s="10"/>
      <c r="KAV19" s="10"/>
      <c r="KAW19" s="10"/>
      <c r="KAX19" s="10"/>
      <c r="KAY19" s="10"/>
      <c r="KAZ19" s="10"/>
      <c r="KBA19" s="10"/>
      <c r="KBB19" s="10"/>
      <c r="KBC19" s="10"/>
      <c r="KBD19" s="10"/>
      <c r="KBE19" s="10"/>
      <c r="KBF19" s="10"/>
      <c r="KBG19" s="10"/>
      <c r="KBH19" s="10"/>
      <c r="KBI19" s="10"/>
      <c r="KBJ19" s="10"/>
      <c r="KBK19" s="10"/>
      <c r="KBL19" s="10"/>
      <c r="KBM19" s="10"/>
      <c r="KBN19" s="10"/>
      <c r="KBO19" s="10"/>
      <c r="KBP19" s="10"/>
      <c r="KBQ19" s="10"/>
      <c r="KBR19" s="10"/>
      <c r="KBS19" s="10"/>
      <c r="KBT19" s="10"/>
      <c r="KBU19" s="10"/>
      <c r="KBV19" s="10"/>
      <c r="KBW19" s="10"/>
      <c r="KBX19" s="10"/>
      <c r="KBY19" s="10"/>
      <c r="KBZ19" s="10"/>
      <c r="KCA19" s="10"/>
      <c r="KCB19" s="10"/>
      <c r="KCC19" s="10"/>
      <c r="KCD19" s="10"/>
      <c r="KCE19" s="10"/>
      <c r="KCF19" s="10"/>
      <c r="KCG19" s="10"/>
      <c r="KCH19" s="10"/>
      <c r="KCI19" s="10"/>
      <c r="KCJ19" s="10"/>
      <c r="KCK19" s="10"/>
      <c r="KCL19" s="10"/>
      <c r="KCM19" s="10"/>
      <c r="KCN19" s="10"/>
      <c r="KCO19" s="10"/>
      <c r="KCP19" s="10"/>
      <c r="KCQ19" s="10"/>
      <c r="KCR19" s="10"/>
      <c r="KCS19" s="10"/>
      <c r="KCT19" s="10"/>
      <c r="KCU19" s="10"/>
      <c r="KCV19" s="10"/>
      <c r="KCW19" s="10"/>
      <c r="KCX19" s="10"/>
      <c r="KCY19" s="10"/>
      <c r="KCZ19" s="10"/>
      <c r="KDA19" s="10"/>
      <c r="KDB19" s="10"/>
      <c r="KDC19" s="10"/>
      <c r="KDD19" s="10"/>
      <c r="KDE19" s="10"/>
      <c r="KDF19" s="10"/>
      <c r="KDG19" s="10"/>
      <c r="KDH19" s="10"/>
      <c r="KDI19" s="10"/>
      <c r="KDJ19" s="10"/>
      <c r="KDK19" s="10"/>
      <c r="KDL19" s="10"/>
      <c r="KDM19" s="10"/>
      <c r="KDN19" s="10"/>
      <c r="KDO19" s="10"/>
      <c r="KDP19" s="10"/>
      <c r="KDQ19" s="10"/>
      <c r="KDR19" s="10"/>
      <c r="KDS19" s="10"/>
      <c r="KDT19" s="10"/>
      <c r="KDU19" s="10"/>
      <c r="KDV19" s="10"/>
      <c r="KDW19" s="10"/>
      <c r="KDX19" s="10"/>
      <c r="KDY19" s="10"/>
      <c r="KDZ19" s="10"/>
      <c r="KEA19" s="10"/>
      <c r="KEB19" s="10"/>
      <c r="KEC19" s="10"/>
      <c r="KED19" s="10"/>
      <c r="KEE19" s="10"/>
      <c r="KEF19" s="10"/>
      <c r="KEG19" s="10"/>
      <c r="KEH19" s="10"/>
      <c r="KEI19" s="10"/>
      <c r="KEJ19" s="10"/>
      <c r="KEK19" s="10"/>
      <c r="KEL19" s="10"/>
      <c r="KEM19" s="10"/>
      <c r="KEN19" s="10"/>
      <c r="KEO19" s="10"/>
      <c r="KEP19" s="10"/>
      <c r="KEQ19" s="10"/>
      <c r="KER19" s="10"/>
      <c r="KES19" s="10"/>
      <c r="KET19" s="10"/>
      <c r="KEU19" s="10"/>
      <c r="KEV19" s="10"/>
      <c r="KEW19" s="10"/>
      <c r="KEX19" s="10"/>
      <c r="KEY19" s="10"/>
      <c r="KEZ19" s="10"/>
      <c r="KFA19" s="10"/>
      <c r="KFB19" s="10"/>
      <c r="KFC19" s="10"/>
      <c r="KFD19" s="10"/>
      <c r="KFE19" s="10"/>
      <c r="KFF19" s="10"/>
      <c r="KFG19" s="10"/>
      <c r="KFH19" s="10"/>
      <c r="KFI19" s="10"/>
      <c r="KFJ19" s="10"/>
      <c r="KFK19" s="10"/>
      <c r="KFL19" s="10"/>
      <c r="KFM19" s="10"/>
      <c r="KFN19" s="10"/>
      <c r="KFO19" s="10"/>
      <c r="KFP19" s="10"/>
      <c r="KFQ19" s="10"/>
      <c r="KFR19" s="10"/>
      <c r="KFS19" s="10"/>
      <c r="KFT19" s="10"/>
      <c r="KFU19" s="10"/>
      <c r="KFV19" s="10"/>
      <c r="KFW19" s="10"/>
      <c r="KFX19" s="10"/>
      <c r="KFY19" s="10"/>
      <c r="KFZ19" s="10"/>
      <c r="KGA19" s="10"/>
      <c r="KGB19" s="10"/>
      <c r="KGC19" s="10"/>
      <c r="KGD19" s="10"/>
      <c r="KGE19" s="10"/>
      <c r="KGF19" s="10"/>
      <c r="KGG19" s="10"/>
      <c r="KGH19" s="10"/>
      <c r="KGI19" s="10"/>
      <c r="KGJ19" s="10"/>
      <c r="KGK19" s="10"/>
      <c r="KGL19" s="10"/>
      <c r="KGM19" s="10"/>
      <c r="KGN19" s="10"/>
      <c r="KGO19" s="10"/>
      <c r="KGP19" s="10"/>
      <c r="KGQ19" s="10"/>
      <c r="KGR19" s="10"/>
      <c r="KGS19" s="10"/>
      <c r="KGT19" s="10"/>
      <c r="KGU19" s="10"/>
      <c r="KGV19" s="10"/>
      <c r="KGW19" s="10"/>
      <c r="KGX19" s="10"/>
      <c r="KGY19" s="10"/>
      <c r="KGZ19" s="10"/>
      <c r="KHA19" s="10"/>
      <c r="KHB19" s="10"/>
      <c r="KHC19" s="10"/>
      <c r="KHD19" s="10"/>
      <c r="KHE19" s="10"/>
      <c r="KHF19" s="10"/>
      <c r="KHG19" s="10"/>
      <c r="KHH19" s="10"/>
      <c r="KHI19" s="10"/>
      <c r="KHJ19" s="10"/>
      <c r="KHK19" s="10"/>
      <c r="KHL19" s="10"/>
      <c r="KHM19" s="10"/>
      <c r="KHN19" s="10"/>
      <c r="KHO19" s="10"/>
      <c r="KHP19" s="10"/>
      <c r="KHQ19" s="10"/>
      <c r="KHR19" s="10"/>
      <c r="KHS19" s="10"/>
      <c r="KHT19" s="10"/>
      <c r="KHU19" s="10"/>
      <c r="KHV19" s="10"/>
      <c r="KHW19" s="10"/>
      <c r="KHX19" s="10"/>
      <c r="KHY19" s="10"/>
      <c r="KHZ19" s="10"/>
      <c r="KIA19" s="10"/>
      <c r="KIB19" s="10"/>
      <c r="KIC19" s="10"/>
      <c r="KID19" s="10"/>
      <c r="KIE19" s="10"/>
      <c r="KIF19" s="10"/>
      <c r="KIG19" s="10"/>
      <c r="KIH19" s="10"/>
      <c r="KII19" s="10"/>
      <c r="KIJ19" s="10"/>
      <c r="KIK19" s="10"/>
      <c r="KIL19" s="10"/>
      <c r="KIM19" s="10"/>
      <c r="KIN19" s="10"/>
      <c r="KIO19" s="10"/>
      <c r="KIP19" s="10"/>
      <c r="KIQ19" s="10"/>
      <c r="KIR19" s="10"/>
      <c r="KIS19" s="10"/>
      <c r="KIT19" s="10"/>
      <c r="KIU19" s="10"/>
      <c r="KIV19" s="10"/>
      <c r="KIW19" s="10"/>
      <c r="KIX19" s="10"/>
      <c r="KIY19" s="10"/>
      <c r="KIZ19" s="10"/>
      <c r="KJA19" s="10"/>
      <c r="KJB19" s="10"/>
      <c r="KJC19" s="10"/>
      <c r="KJD19" s="10"/>
      <c r="KJE19" s="10"/>
      <c r="KJF19" s="10"/>
      <c r="KJG19" s="10"/>
      <c r="KJH19" s="10"/>
      <c r="KJI19" s="10"/>
      <c r="KJJ19" s="10"/>
      <c r="KJK19" s="10"/>
      <c r="KJL19" s="10"/>
      <c r="KJM19" s="10"/>
      <c r="KJN19" s="10"/>
      <c r="KJO19" s="10"/>
      <c r="KJP19" s="10"/>
      <c r="KJQ19" s="10"/>
      <c r="KJR19" s="10"/>
      <c r="KJS19" s="10"/>
      <c r="KJT19" s="10"/>
      <c r="KJU19" s="10"/>
      <c r="KJV19" s="10"/>
      <c r="KJW19" s="10"/>
      <c r="KJX19" s="10"/>
      <c r="KJY19" s="10"/>
      <c r="KJZ19" s="10"/>
      <c r="KKA19" s="10"/>
      <c r="KKB19" s="10"/>
      <c r="KKC19" s="10"/>
      <c r="KKD19" s="10"/>
      <c r="KKE19" s="10"/>
      <c r="KKF19" s="10"/>
      <c r="KKG19" s="10"/>
      <c r="KKH19" s="10"/>
      <c r="KKI19" s="10"/>
      <c r="KKJ19" s="10"/>
      <c r="KKK19" s="10"/>
      <c r="KKL19" s="10"/>
      <c r="KKM19" s="10"/>
      <c r="KKN19" s="10"/>
      <c r="KKO19" s="10"/>
      <c r="KKP19" s="10"/>
      <c r="KKQ19" s="10"/>
      <c r="KKR19" s="10"/>
      <c r="KKS19" s="10"/>
      <c r="KKT19" s="10"/>
      <c r="KKU19" s="10"/>
      <c r="KKV19" s="10"/>
      <c r="KKW19" s="10"/>
      <c r="KKX19" s="10"/>
      <c r="KKY19" s="10"/>
      <c r="KKZ19" s="10"/>
      <c r="KLA19" s="10"/>
      <c r="KLB19" s="10"/>
      <c r="KLC19" s="10"/>
      <c r="KLD19" s="10"/>
      <c r="KLE19" s="10"/>
      <c r="KLF19" s="10"/>
      <c r="KLG19" s="10"/>
      <c r="KLH19" s="10"/>
      <c r="KLI19" s="10"/>
      <c r="KLJ19" s="10"/>
      <c r="KLK19" s="10"/>
      <c r="KLL19" s="10"/>
      <c r="KLM19" s="10"/>
      <c r="KLN19" s="10"/>
      <c r="KLO19" s="10"/>
      <c r="KLP19" s="10"/>
      <c r="KLQ19" s="10"/>
      <c r="KLR19" s="10"/>
      <c r="KLS19" s="10"/>
      <c r="KLT19" s="10"/>
      <c r="KLU19" s="10"/>
      <c r="KLV19" s="10"/>
      <c r="KLW19" s="10"/>
      <c r="KLX19" s="10"/>
      <c r="KLY19" s="10"/>
      <c r="KLZ19" s="10"/>
      <c r="KMA19" s="10"/>
      <c r="KMB19" s="10"/>
      <c r="KMC19" s="10"/>
      <c r="KMD19" s="10"/>
      <c r="KME19" s="10"/>
      <c r="KMF19" s="10"/>
      <c r="KMG19" s="10"/>
      <c r="KMH19" s="10"/>
      <c r="KMI19" s="10"/>
      <c r="KMJ19" s="10"/>
      <c r="KMK19" s="10"/>
      <c r="KML19" s="10"/>
      <c r="KMM19" s="10"/>
      <c r="KMN19" s="10"/>
      <c r="KMO19" s="10"/>
      <c r="KMP19" s="10"/>
      <c r="KMQ19" s="10"/>
      <c r="KMR19" s="10"/>
      <c r="KMS19" s="10"/>
      <c r="KMT19" s="10"/>
      <c r="KMU19" s="10"/>
      <c r="KMV19" s="10"/>
      <c r="KMW19" s="10"/>
      <c r="KMX19" s="10"/>
      <c r="KMY19" s="10"/>
      <c r="KMZ19" s="10"/>
      <c r="KNA19" s="10"/>
      <c r="KNB19" s="10"/>
      <c r="KNC19" s="10"/>
      <c r="KND19" s="10"/>
      <c r="KNE19" s="10"/>
      <c r="KNF19" s="10"/>
      <c r="KNG19" s="10"/>
      <c r="KNH19" s="10"/>
      <c r="KNI19" s="10"/>
      <c r="KNJ19" s="10"/>
      <c r="KNK19" s="10"/>
      <c r="KNL19" s="10"/>
      <c r="KNM19" s="10"/>
      <c r="KNN19" s="10"/>
      <c r="KNO19" s="10"/>
      <c r="KNP19" s="10"/>
      <c r="KNQ19" s="10"/>
      <c r="KNR19" s="10"/>
      <c r="KNS19" s="10"/>
      <c r="KNT19" s="10"/>
      <c r="KNU19" s="10"/>
      <c r="KNV19" s="10"/>
      <c r="KNW19" s="10"/>
      <c r="KNX19" s="10"/>
      <c r="KNY19" s="10"/>
      <c r="KNZ19" s="10"/>
      <c r="KOA19" s="10"/>
      <c r="KOB19" s="10"/>
      <c r="KOC19" s="10"/>
      <c r="KOD19" s="10"/>
      <c r="KOE19" s="10"/>
      <c r="KOF19" s="10"/>
      <c r="KOG19" s="10"/>
      <c r="KOH19" s="10"/>
      <c r="KOI19" s="10"/>
      <c r="KOJ19" s="10"/>
      <c r="KOK19" s="10"/>
      <c r="KOL19" s="10"/>
      <c r="KOM19" s="10"/>
      <c r="KON19" s="10"/>
      <c r="KOO19" s="10"/>
      <c r="KOP19" s="10"/>
      <c r="KOQ19" s="10"/>
      <c r="KOR19" s="10"/>
      <c r="KOS19" s="10"/>
      <c r="KOT19" s="10"/>
      <c r="KOU19" s="10"/>
      <c r="KOV19" s="10"/>
      <c r="KOW19" s="10"/>
      <c r="KOX19" s="10"/>
      <c r="KOY19" s="10"/>
      <c r="KOZ19" s="10"/>
      <c r="KPA19" s="10"/>
      <c r="KPB19" s="10"/>
      <c r="KPC19" s="10"/>
      <c r="KPD19" s="10"/>
      <c r="KPE19" s="10"/>
      <c r="KPF19" s="10"/>
      <c r="KPG19" s="10"/>
      <c r="KPH19" s="10"/>
      <c r="KPI19" s="10"/>
      <c r="KPJ19" s="10"/>
      <c r="KPK19" s="10"/>
      <c r="KPL19" s="10"/>
      <c r="KPM19" s="10"/>
      <c r="KPN19" s="10"/>
      <c r="KPO19" s="10"/>
      <c r="KPP19" s="10"/>
      <c r="KPQ19" s="10"/>
      <c r="KPR19" s="10"/>
      <c r="KPS19" s="10"/>
      <c r="KPT19" s="10"/>
      <c r="KPU19" s="10"/>
      <c r="KPV19" s="10"/>
      <c r="KPW19" s="10"/>
      <c r="KPX19" s="10"/>
      <c r="KPY19" s="10"/>
      <c r="KPZ19" s="10"/>
      <c r="KQA19" s="10"/>
      <c r="KQB19" s="10"/>
      <c r="KQC19" s="10"/>
      <c r="KQD19" s="10"/>
      <c r="KQE19" s="10"/>
      <c r="KQF19" s="10"/>
      <c r="KQG19" s="10"/>
      <c r="KQH19" s="10"/>
      <c r="KQI19" s="10"/>
      <c r="KQJ19" s="10"/>
      <c r="KQK19" s="10"/>
      <c r="KQL19" s="10"/>
      <c r="KQM19" s="10"/>
      <c r="KQN19" s="10"/>
      <c r="KQO19" s="10"/>
      <c r="KQP19" s="10"/>
      <c r="KQQ19" s="10"/>
      <c r="KQR19" s="10"/>
      <c r="KQS19" s="10"/>
      <c r="KQT19" s="10"/>
      <c r="KQU19" s="10"/>
      <c r="KQV19" s="10"/>
      <c r="KQW19" s="10"/>
      <c r="KQX19" s="10"/>
      <c r="KQY19" s="10"/>
      <c r="KQZ19" s="10"/>
      <c r="KRA19" s="10"/>
      <c r="KRB19" s="10"/>
      <c r="KRC19" s="10"/>
      <c r="KRD19" s="10"/>
      <c r="KRE19" s="10"/>
      <c r="KRF19" s="10"/>
      <c r="KRG19" s="10"/>
      <c r="KRH19" s="10"/>
      <c r="KRI19" s="10"/>
      <c r="KRJ19" s="10"/>
      <c r="KRK19" s="10"/>
      <c r="KRL19" s="10"/>
      <c r="KRM19" s="10"/>
      <c r="KRN19" s="10"/>
      <c r="KRO19" s="10"/>
      <c r="KRP19" s="10"/>
      <c r="KRQ19" s="10"/>
      <c r="KRR19" s="10"/>
      <c r="KRS19" s="10"/>
      <c r="KRT19" s="10"/>
      <c r="KRU19" s="10"/>
      <c r="KRV19" s="10"/>
      <c r="KRW19" s="10"/>
      <c r="KRX19" s="10"/>
      <c r="KRY19" s="10"/>
      <c r="KRZ19" s="10"/>
      <c r="KSA19" s="10"/>
      <c r="KSB19" s="10"/>
      <c r="KSC19" s="10"/>
      <c r="KSD19" s="10"/>
      <c r="KSE19" s="10"/>
      <c r="KSF19" s="10"/>
      <c r="KSG19" s="10"/>
      <c r="KSH19" s="10"/>
      <c r="KSI19" s="10"/>
      <c r="KSJ19" s="10"/>
      <c r="KSK19" s="10"/>
      <c r="KSL19" s="10"/>
      <c r="KSM19" s="10"/>
      <c r="KSN19" s="10"/>
      <c r="KSO19" s="10"/>
      <c r="KSP19" s="10"/>
      <c r="KSQ19" s="10"/>
      <c r="KSR19" s="10"/>
      <c r="KSS19" s="10"/>
      <c r="KST19" s="10"/>
      <c r="KSU19" s="10"/>
      <c r="KSV19" s="10"/>
      <c r="KSW19" s="10"/>
      <c r="KSX19" s="10"/>
      <c r="KSY19" s="10"/>
      <c r="KSZ19" s="10"/>
      <c r="KTA19" s="10"/>
      <c r="KTB19" s="10"/>
      <c r="KTC19" s="10"/>
      <c r="KTD19" s="10"/>
      <c r="KTE19" s="10"/>
      <c r="KTF19" s="10"/>
      <c r="KTG19" s="10"/>
      <c r="KTH19" s="10"/>
      <c r="KTI19" s="10"/>
      <c r="KTJ19" s="10"/>
      <c r="KTK19" s="10"/>
      <c r="KTL19" s="10"/>
      <c r="KTM19" s="10"/>
      <c r="KTN19" s="10"/>
      <c r="KTO19" s="10"/>
      <c r="KTP19" s="10"/>
      <c r="KTQ19" s="10"/>
      <c r="KTR19" s="10"/>
      <c r="KTS19" s="10"/>
      <c r="KTT19" s="10"/>
      <c r="KTU19" s="10"/>
      <c r="KTV19" s="10"/>
      <c r="KTW19" s="10"/>
      <c r="KTX19" s="10"/>
      <c r="KTY19" s="10"/>
      <c r="KTZ19" s="10"/>
      <c r="KUA19" s="10"/>
      <c r="KUB19" s="10"/>
      <c r="KUC19" s="10"/>
      <c r="KUD19" s="10"/>
      <c r="KUE19" s="10"/>
      <c r="KUF19" s="10"/>
      <c r="KUG19" s="10"/>
      <c r="KUH19" s="10"/>
      <c r="KUI19" s="10"/>
      <c r="KUJ19" s="10"/>
      <c r="KUK19" s="10"/>
      <c r="KUL19" s="10"/>
      <c r="KUM19" s="10"/>
      <c r="KUN19" s="10"/>
      <c r="KUO19" s="10"/>
      <c r="KUP19" s="10"/>
      <c r="KUQ19" s="10"/>
      <c r="KUR19" s="10"/>
      <c r="KUS19" s="10"/>
      <c r="KUT19" s="10"/>
      <c r="KUU19" s="10"/>
      <c r="KUV19" s="10"/>
      <c r="KUW19" s="10"/>
      <c r="KUX19" s="10"/>
      <c r="KUY19" s="10"/>
      <c r="KUZ19" s="10"/>
      <c r="KVA19" s="10"/>
      <c r="KVB19" s="10"/>
      <c r="KVC19" s="10"/>
      <c r="KVD19" s="10"/>
      <c r="KVE19" s="10"/>
      <c r="KVF19" s="10"/>
      <c r="KVG19" s="10"/>
      <c r="KVH19" s="10"/>
      <c r="KVI19" s="10"/>
      <c r="KVJ19" s="10"/>
      <c r="KVK19" s="10"/>
      <c r="KVL19" s="10"/>
      <c r="KVM19" s="10"/>
      <c r="KVN19" s="10"/>
      <c r="KVO19" s="10"/>
      <c r="KVP19" s="10"/>
      <c r="KVQ19" s="10"/>
      <c r="KVR19" s="10"/>
      <c r="KVS19" s="10"/>
      <c r="KVT19" s="10"/>
      <c r="KVU19" s="10"/>
      <c r="KVV19" s="10"/>
      <c r="KVW19" s="10"/>
      <c r="KVX19" s="10"/>
      <c r="KVY19" s="10"/>
      <c r="KVZ19" s="10"/>
      <c r="KWA19" s="10"/>
      <c r="KWB19" s="10"/>
      <c r="KWC19" s="10"/>
      <c r="KWD19" s="10"/>
      <c r="KWE19" s="10"/>
      <c r="KWF19" s="10"/>
      <c r="KWG19" s="10"/>
      <c r="KWH19" s="10"/>
      <c r="KWI19" s="10"/>
      <c r="KWJ19" s="10"/>
      <c r="KWK19" s="10"/>
      <c r="KWL19" s="10"/>
      <c r="KWM19" s="10"/>
      <c r="KWN19" s="10"/>
      <c r="KWO19" s="10"/>
      <c r="KWP19" s="10"/>
      <c r="KWQ19" s="10"/>
      <c r="KWR19" s="10"/>
      <c r="KWS19" s="10"/>
      <c r="KWT19" s="10"/>
      <c r="KWU19" s="10"/>
      <c r="KWV19" s="10"/>
      <c r="KWW19" s="10"/>
      <c r="KWX19" s="10"/>
      <c r="KWY19" s="10"/>
      <c r="KWZ19" s="10"/>
      <c r="KXA19" s="10"/>
      <c r="KXB19" s="10"/>
      <c r="KXC19" s="10"/>
      <c r="KXD19" s="10"/>
      <c r="KXE19" s="10"/>
      <c r="KXF19" s="10"/>
      <c r="KXG19" s="10"/>
      <c r="KXH19" s="10"/>
      <c r="KXI19" s="10"/>
      <c r="KXJ19" s="10"/>
      <c r="KXK19" s="10"/>
      <c r="KXL19" s="10"/>
      <c r="KXM19" s="10"/>
      <c r="KXN19" s="10"/>
      <c r="KXO19" s="10"/>
      <c r="KXP19" s="10"/>
      <c r="KXQ19" s="10"/>
      <c r="KXR19" s="10"/>
      <c r="KXS19" s="10"/>
      <c r="KXT19" s="10"/>
      <c r="KXU19" s="10"/>
      <c r="KXV19" s="10"/>
      <c r="KXW19" s="10"/>
      <c r="KXX19" s="10"/>
      <c r="KXY19" s="10"/>
      <c r="KXZ19" s="10"/>
      <c r="KYA19" s="10"/>
      <c r="KYB19" s="10"/>
      <c r="KYC19" s="10"/>
      <c r="KYD19" s="10"/>
      <c r="KYE19" s="10"/>
      <c r="KYF19" s="10"/>
      <c r="KYG19" s="10"/>
      <c r="KYH19" s="10"/>
      <c r="KYI19" s="10"/>
      <c r="KYJ19" s="10"/>
      <c r="KYK19" s="10"/>
      <c r="KYL19" s="10"/>
      <c r="KYM19" s="10"/>
      <c r="KYN19" s="10"/>
      <c r="KYO19" s="10"/>
      <c r="KYP19" s="10"/>
      <c r="KYQ19" s="10"/>
      <c r="KYR19" s="10"/>
      <c r="KYS19" s="10"/>
      <c r="KYT19" s="10"/>
      <c r="KYU19" s="10"/>
      <c r="KYV19" s="10"/>
      <c r="KYW19" s="10"/>
      <c r="KYX19" s="10"/>
      <c r="KYY19" s="10"/>
      <c r="KYZ19" s="10"/>
      <c r="KZA19" s="10"/>
      <c r="KZB19" s="10"/>
      <c r="KZC19" s="10"/>
      <c r="KZD19" s="10"/>
      <c r="KZE19" s="10"/>
      <c r="KZF19" s="10"/>
      <c r="KZG19" s="10"/>
      <c r="KZH19" s="10"/>
      <c r="KZI19" s="10"/>
      <c r="KZJ19" s="10"/>
      <c r="KZK19" s="10"/>
      <c r="KZL19" s="10"/>
      <c r="KZM19" s="10"/>
      <c r="KZN19" s="10"/>
      <c r="KZO19" s="10"/>
      <c r="KZP19" s="10"/>
      <c r="KZQ19" s="10"/>
      <c r="KZR19" s="10"/>
      <c r="KZS19" s="10"/>
      <c r="KZT19" s="10"/>
      <c r="KZU19" s="10"/>
      <c r="KZV19" s="10"/>
      <c r="KZW19" s="10"/>
      <c r="KZX19" s="10"/>
      <c r="KZY19" s="10"/>
      <c r="KZZ19" s="10"/>
      <c r="LAA19" s="10"/>
      <c r="LAB19" s="10"/>
      <c r="LAC19" s="10"/>
      <c r="LAD19" s="10"/>
      <c r="LAE19" s="10"/>
      <c r="LAF19" s="10"/>
      <c r="LAG19" s="10"/>
      <c r="LAH19" s="10"/>
      <c r="LAI19" s="10"/>
      <c r="LAJ19" s="10"/>
      <c r="LAK19" s="10"/>
      <c r="LAL19" s="10"/>
      <c r="LAM19" s="10"/>
      <c r="LAN19" s="10"/>
      <c r="LAO19" s="10"/>
      <c r="LAP19" s="10"/>
      <c r="LAQ19" s="10"/>
      <c r="LAR19" s="10"/>
      <c r="LAS19" s="10"/>
      <c r="LAT19" s="10"/>
      <c r="LAU19" s="10"/>
      <c r="LAV19" s="10"/>
      <c r="LAW19" s="10"/>
      <c r="LAX19" s="10"/>
      <c r="LAY19" s="10"/>
      <c r="LAZ19" s="10"/>
      <c r="LBA19" s="10"/>
      <c r="LBB19" s="10"/>
      <c r="LBC19" s="10"/>
      <c r="LBD19" s="10"/>
      <c r="LBE19" s="10"/>
      <c r="LBF19" s="10"/>
      <c r="LBG19" s="10"/>
      <c r="LBH19" s="10"/>
      <c r="LBI19" s="10"/>
      <c r="LBJ19" s="10"/>
      <c r="LBK19" s="10"/>
      <c r="LBL19" s="10"/>
      <c r="LBM19" s="10"/>
      <c r="LBN19" s="10"/>
      <c r="LBO19" s="10"/>
      <c r="LBP19" s="10"/>
      <c r="LBQ19" s="10"/>
      <c r="LBR19" s="10"/>
      <c r="LBS19" s="10"/>
      <c r="LBT19" s="10"/>
      <c r="LBU19" s="10"/>
      <c r="LBV19" s="10"/>
      <c r="LBW19" s="10"/>
      <c r="LBX19" s="10"/>
      <c r="LBY19" s="10"/>
      <c r="LBZ19" s="10"/>
      <c r="LCA19" s="10"/>
      <c r="LCB19" s="10"/>
      <c r="LCC19" s="10"/>
      <c r="LCD19" s="10"/>
      <c r="LCE19" s="10"/>
      <c r="LCF19" s="10"/>
      <c r="LCG19" s="10"/>
      <c r="LCH19" s="10"/>
      <c r="LCI19" s="10"/>
      <c r="LCJ19" s="10"/>
      <c r="LCK19" s="10"/>
      <c r="LCL19" s="10"/>
      <c r="LCM19" s="10"/>
      <c r="LCN19" s="10"/>
      <c r="LCO19" s="10"/>
      <c r="LCP19" s="10"/>
      <c r="LCQ19" s="10"/>
      <c r="LCR19" s="10"/>
      <c r="LCS19" s="10"/>
      <c r="LCT19" s="10"/>
      <c r="LCU19" s="10"/>
      <c r="LCV19" s="10"/>
      <c r="LCW19" s="10"/>
      <c r="LCX19" s="10"/>
      <c r="LCY19" s="10"/>
      <c r="LCZ19" s="10"/>
      <c r="LDA19" s="10"/>
      <c r="LDB19" s="10"/>
      <c r="LDC19" s="10"/>
      <c r="LDD19" s="10"/>
      <c r="LDE19" s="10"/>
      <c r="LDF19" s="10"/>
      <c r="LDG19" s="10"/>
      <c r="LDH19" s="10"/>
      <c r="LDI19" s="10"/>
      <c r="LDJ19" s="10"/>
      <c r="LDK19" s="10"/>
      <c r="LDL19" s="10"/>
      <c r="LDM19" s="10"/>
      <c r="LDN19" s="10"/>
      <c r="LDO19" s="10"/>
      <c r="LDP19" s="10"/>
      <c r="LDQ19" s="10"/>
      <c r="LDR19" s="10"/>
      <c r="LDS19" s="10"/>
      <c r="LDT19" s="10"/>
      <c r="LDU19" s="10"/>
      <c r="LDV19" s="10"/>
      <c r="LDW19" s="10"/>
      <c r="LDX19" s="10"/>
      <c r="LDY19" s="10"/>
      <c r="LDZ19" s="10"/>
      <c r="LEA19" s="10"/>
      <c r="LEB19" s="10"/>
      <c r="LEC19" s="10"/>
      <c r="LED19" s="10"/>
      <c r="LEE19" s="10"/>
      <c r="LEF19" s="10"/>
      <c r="LEG19" s="10"/>
      <c r="LEH19" s="10"/>
      <c r="LEI19" s="10"/>
      <c r="LEJ19" s="10"/>
      <c r="LEK19" s="10"/>
      <c r="LEL19" s="10"/>
      <c r="LEM19" s="10"/>
      <c r="LEN19" s="10"/>
      <c r="LEO19" s="10"/>
      <c r="LEP19" s="10"/>
      <c r="LEQ19" s="10"/>
      <c r="LER19" s="10"/>
      <c r="LES19" s="10"/>
      <c r="LET19" s="10"/>
      <c r="LEU19" s="10"/>
      <c r="LEV19" s="10"/>
      <c r="LEW19" s="10"/>
      <c r="LEX19" s="10"/>
      <c r="LEY19" s="10"/>
      <c r="LEZ19" s="10"/>
      <c r="LFA19" s="10"/>
      <c r="LFB19" s="10"/>
      <c r="LFC19" s="10"/>
      <c r="LFD19" s="10"/>
      <c r="LFE19" s="10"/>
      <c r="LFF19" s="10"/>
      <c r="LFG19" s="10"/>
      <c r="LFH19" s="10"/>
      <c r="LFI19" s="10"/>
      <c r="LFJ19" s="10"/>
      <c r="LFK19" s="10"/>
      <c r="LFL19" s="10"/>
      <c r="LFM19" s="10"/>
      <c r="LFN19" s="10"/>
      <c r="LFO19" s="10"/>
      <c r="LFP19" s="10"/>
      <c r="LFQ19" s="10"/>
      <c r="LFR19" s="10"/>
      <c r="LFS19" s="10"/>
      <c r="LFT19" s="10"/>
      <c r="LFU19" s="10"/>
      <c r="LFV19" s="10"/>
      <c r="LFW19" s="10"/>
      <c r="LFX19" s="10"/>
      <c r="LFY19" s="10"/>
      <c r="LFZ19" s="10"/>
      <c r="LGA19" s="10"/>
      <c r="LGB19" s="10"/>
      <c r="LGC19" s="10"/>
      <c r="LGD19" s="10"/>
      <c r="LGE19" s="10"/>
      <c r="LGF19" s="10"/>
      <c r="LGG19" s="10"/>
      <c r="LGH19" s="10"/>
      <c r="LGI19" s="10"/>
      <c r="LGJ19" s="10"/>
      <c r="LGK19" s="10"/>
      <c r="LGL19" s="10"/>
      <c r="LGM19" s="10"/>
      <c r="LGN19" s="10"/>
      <c r="LGO19" s="10"/>
      <c r="LGP19" s="10"/>
      <c r="LGQ19" s="10"/>
      <c r="LGR19" s="10"/>
      <c r="LGS19" s="10"/>
      <c r="LGT19" s="10"/>
      <c r="LGU19" s="10"/>
      <c r="LGV19" s="10"/>
      <c r="LGW19" s="10"/>
      <c r="LGX19" s="10"/>
      <c r="LGY19" s="10"/>
      <c r="LGZ19" s="10"/>
      <c r="LHA19" s="10"/>
      <c r="LHB19" s="10"/>
      <c r="LHC19" s="10"/>
      <c r="LHD19" s="10"/>
      <c r="LHE19" s="10"/>
      <c r="LHF19" s="10"/>
      <c r="LHG19" s="10"/>
      <c r="LHH19" s="10"/>
      <c r="LHI19" s="10"/>
      <c r="LHJ19" s="10"/>
      <c r="LHK19" s="10"/>
      <c r="LHL19" s="10"/>
      <c r="LHM19" s="10"/>
      <c r="LHN19" s="10"/>
      <c r="LHO19" s="10"/>
      <c r="LHP19" s="10"/>
      <c r="LHQ19" s="10"/>
      <c r="LHR19" s="10"/>
      <c r="LHS19" s="10"/>
      <c r="LHT19" s="10"/>
      <c r="LHU19" s="10"/>
      <c r="LHV19" s="10"/>
      <c r="LHW19" s="10"/>
      <c r="LHX19" s="10"/>
      <c r="LHY19" s="10"/>
      <c r="LHZ19" s="10"/>
      <c r="LIA19" s="10"/>
      <c r="LIB19" s="10"/>
      <c r="LIC19" s="10"/>
      <c r="LID19" s="10"/>
      <c r="LIE19" s="10"/>
      <c r="LIF19" s="10"/>
      <c r="LIG19" s="10"/>
      <c r="LIH19" s="10"/>
      <c r="LII19" s="10"/>
      <c r="LIJ19" s="10"/>
      <c r="LIK19" s="10"/>
      <c r="LIL19" s="10"/>
      <c r="LIM19" s="10"/>
      <c r="LIN19" s="10"/>
      <c r="LIO19" s="10"/>
      <c r="LIP19" s="10"/>
      <c r="LIQ19" s="10"/>
      <c r="LIR19" s="10"/>
      <c r="LIS19" s="10"/>
      <c r="LIT19" s="10"/>
      <c r="LIU19" s="10"/>
      <c r="LIV19" s="10"/>
      <c r="LIW19" s="10"/>
      <c r="LIX19" s="10"/>
      <c r="LIY19" s="10"/>
      <c r="LIZ19" s="10"/>
      <c r="LJA19" s="10"/>
      <c r="LJB19" s="10"/>
      <c r="LJC19" s="10"/>
      <c r="LJD19" s="10"/>
      <c r="LJE19" s="10"/>
      <c r="LJF19" s="10"/>
      <c r="LJG19" s="10"/>
      <c r="LJH19" s="10"/>
      <c r="LJI19" s="10"/>
      <c r="LJJ19" s="10"/>
      <c r="LJK19" s="10"/>
      <c r="LJL19" s="10"/>
      <c r="LJM19" s="10"/>
      <c r="LJN19" s="10"/>
      <c r="LJO19" s="10"/>
      <c r="LJP19" s="10"/>
      <c r="LJQ19" s="10"/>
      <c r="LJR19" s="10"/>
      <c r="LJS19" s="10"/>
      <c r="LJT19" s="10"/>
      <c r="LJU19" s="10"/>
      <c r="LJV19" s="10"/>
      <c r="LJW19" s="10"/>
      <c r="LJX19" s="10"/>
      <c r="LJY19" s="10"/>
      <c r="LJZ19" s="10"/>
      <c r="LKA19" s="10"/>
      <c r="LKB19" s="10"/>
      <c r="LKC19" s="10"/>
      <c r="LKD19" s="10"/>
      <c r="LKE19" s="10"/>
      <c r="LKF19" s="10"/>
      <c r="LKG19" s="10"/>
      <c r="LKH19" s="10"/>
      <c r="LKI19" s="10"/>
      <c r="LKJ19" s="10"/>
      <c r="LKK19" s="10"/>
      <c r="LKL19" s="10"/>
      <c r="LKM19" s="10"/>
      <c r="LKN19" s="10"/>
      <c r="LKO19" s="10"/>
      <c r="LKP19" s="10"/>
      <c r="LKQ19" s="10"/>
      <c r="LKR19" s="10"/>
      <c r="LKS19" s="10"/>
      <c r="LKT19" s="10"/>
      <c r="LKU19" s="10"/>
      <c r="LKV19" s="10"/>
      <c r="LKW19" s="10"/>
      <c r="LKX19" s="10"/>
      <c r="LKY19" s="10"/>
      <c r="LKZ19" s="10"/>
      <c r="LLA19" s="10"/>
      <c r="LLB19" s="10"/>
      <c r="LLC19" s="10"/>
      <c r="LLD19" s="10"/>
      <c r="LLE19" s="10"/>
      <c r="LLF19" s="10"/>
      <c r="LLG19" s="10"/>
      <c r="LLH19" s="10"/>
      <c r="LLI19" s="10"/>
      <c r="LLJ19" s="10"/>
      <c r="LLK19" s="10"/>
      <c r="LLL19" s="10"/>
      <c r="LLM19" s="10"/>
      <c r="LLN19" s="10"/>
      <c r="LLO19" s="10"/>
      <c r="LLP19" s="10"/>
      <c r="LLQ19" s="10"/>
      <c r="LLR19" s="10"/>
      <c r="LLS19" s="10"/>
      <c r="LLT19" s="10"/>
      <c r="LLU19" s="10"/>
      <c r="LLV19" s="10"/>
      <c r="LLW19" s="10"/>
      <c r="LLX19" s="10"/>
      <c r="LLY19" s="10"/>
      <c r="LLZ19" s="10"/>
      <c r="LMA19" s="10"/>
      <c r="LMB19" s="10"/>
      <c r="LMC19" s="10"/>
      <c r="LMD19" s="10"/>
      <c r="LME19" s="10"/>
      <c r="LMF19" s="10"/>
      <c r="LMG19" s="10"/>
      <c r="LMH19" s="10"/>
      <c r="LMI19" s="10"/>
      <c r="LMJ19" s="10"/>
      <c r="LMK19" s="10"/>
      <c r="LML19" s="10"/>
      <c r="LMM19" s="10"/>
      <c r="LMN19" s="10"/>
      <c r="LMO19" s="10"/>
      <c r="LMP19" s="10"/>
      <c r="LMQ19" s="10"/>
      <c r="LMR19" s="10"/>
      <c r="LMS19" s="10"/>
      <c r="LMT19" s="10"/>
      <c r="LMU19" s="10"/>
      <c r="LMV19" s="10"/>
      <c r="LMW19" s="10"/>
      <c r="LMX19" s="10"/>
      <c r="LMY19" s="10"/>
      <c r="LMZ19" s="10"/>
      <c r="LNA19" s="10"/>
      <c r="LNB19" s="10"/>
      <c r="LNC19" s="10"/>
      <c r="LND19" s="10"/>
      <c r="LNE19" s="10"/>
      <c r="LNF19" s="10"/>
      <c r="LNG19" s="10"/>
      <c r="LNH19" s="10"/>
      <c r="LNI19" s="10"/>
      <c r="LNJ19" s="10"/>
      <c r="LNK19" s="10"/>
      <c r="LNL19" s="10"/>
      <c r="LNM19" s="10"/>
      <c r="LNN19" s="10"/>
      <c r="LNO19" s="10"/>
      <c r="LNP19" s="10"/>
      <c r="LNQ19" s="10"/>
      <c r="LNR19" s="10"/>
      <c r="LNS19" s="10"/>
      <c r="LNT19" s="10"/>
      <c r="LNU19" s="10"/>
      <c r="LNV19" s="10"/>
      <c r="LNW19" s="10"/>
      <c r="LNX19" s="10"/>
      <c r="LNY19" s="10"/>
      <c r="LNZ19" s="10"/>
      <c r="LOA19" s="10"/>
      <c r="LOB19" s="10"/>
      <c r="LOC19" s="10"/>
      <c r="LOD19" s="10"/>
      <c r="LOE19" s="10"/>
      <c r="LOF19" s="10"/>
      <c r="LOG19" s="10"/>
      <c r="LOH19" s="10"/>
      <c r="LOI19" s="10"/>
      <c r="LOJ19" s="10"/>
      <c r="LOK19" s="10"/>
      <c r="LOL19" s="10"/>
      <c r="LOM19" s="10"/>
      <c r="LON19" s="10"/>
      <c r="LOO19" s="10"/>
      <c r="LOP19" s="10"/>
      <c r="LOQ19" s="10"/>
      <c r="LOR19" s="10"/>
      <c r="LOS19" s="10"/>
      <c r="LOT19" s="10"/>
      <c r="LOU19" s="10"/>
      <c r="LOV19" s="10"/>
      <c r="LOW19" s="10"/>
      <c r="LOX19" s="10"/>
      <c r="LOY19" s="10"/>
      <c r="LOZ19" s="10"/>
      <c r="LPA19" s="10"/>
      <c r="LPB19" s="10"/>
      <c r="LPC19" s="10"/>
      <c r="LPD19" s="10"/>
      <c r="LPE19" s="10"/>
      <c r="LPF19" s="10"/>
      <c r="LPG19" s="10"/>
      <c r="LPH19" s="10"/>
      <c r="LPI19" s="10"/>
      <c r="LPJ19" s="10"/>
      <c r="LPK19" s="10"/>
      <c r="LPL19" s="10"/>
      <c r="LPM19" s="10"/>
      <c r="LPN19" s="10"/>
      <c r="LPO19" s="10"/>
      <c r="LPP19" s="10"/>
      <c r="LPQ19" s="10"/>
      <c r="LPR19" s="10"/>
      <c r="LPS19" s="10"/>
      <c r="LPT19" s="10"/>
      <c r="LPU19" s="10"/>
      <c r="LPV19" s="10"/>
      <c r="LPW19" s="10"/>
      <c r="LPX19" s="10"/>
      <c r="LPY19" s="10"/>
      <c r="LPZ19" s="10"/>
      <c r="LQA19" s="10"/>
      <c r="LQB19" s="10"/>
      <c r="LQC19" s="10"/>
      <c r="LQD19" s="10"/>
      <c r="LQE19" s="10"/>
      <c r="LQF19" s="10"/>
      <c r="LQG19" s="10"/>
      <c r="LQH19" s="10"/>
      <c r="LQI19" s="10"/>
      <c r="LQJ19" s="10"/>
      <c r="LQK19" s="10"/>
      <c r="LQL19" s="10"/>
      <c r="LQM19" s="10"/>
      <c r="LQN19" s="10"/>
      <c r="LQO19" s="10"/>
      <c r="LQP19" s="10"/>
      <c r="LQQ19" s="10"/>
      <c r="LQR19" s="10"/>
      <c r="LQS19" s="10"/>
      <c r="LQT19" s="10"/>
      <c r="LQU19" s="10"/>
      <c r="LQV19" s="10"/>
      <c r="LQW19" s="10"/>
      <c r="LQX19" s="10"/>
      <c r="LQY19" s="10"/>
      <c r="LQZ19" s="10"/>
      <c r="LRA19" s="10"/>
      <c r="LRB19" s="10"/>
      <c r="LRC19" s="10"/>
      <c r="LRD19" s="10"/>
      <c r="LRE19" s="10"/>
      <c r="LRF19" s="10"/>
      <c r="LRG19" s="10"/>
      <c r="LRH19" s="10"/>
      <c r="LRI19" s="10"/>
      <c r="LRJ19" s="10"/>
      <c r="LRK19" s="10"/>
      <c r="LRL19" s="10"/>
      <c r="LRM19" s="10"/>
      <c r="LRN19" s="10"/>
      <c r="LRO19" s="10"/>
      <c r="LRP19" s="10"/>
      <c r="LRQ19" s="10"/>
      <c r="LRR19" s="10"/>
      <c r="LRS19" s="10"/>
      <c r="LRT19" s="10"/>
      <c r="LRU19" s="10"/>
      <c r="LRV19" s="10"/>
      <c r="LRW19" s="10"/>
      <c r="LRX19" s="10"/>
      <c r="LRY19" s="10"/>
      <c r="LRZ19" s="10"/>
      <c r="LSA19" s="10"/>
      <c r="LSB19" s="10"/>
      <c r="LSC19" s="10"/>
      <c r="LSD19" s="10"/>
      <c r="LSE19" s="10"/>
      <c r="LSF19" s="10"/>
      <c r="LSG19" s="10"/>
      <c r="LSH19" s="10"/>
      <c r="LSI19" s="10"/>
      <c r="LSJ19" s="10"/>
      <c r="LSK19" s="10"/>
      <c r="LSL19" s="10"/>
      <c r="LSM19" s="10"/>
      <c r="LSN19" s="10"/>
      <c r="LSO19" s="10"/>
      <c r="LSP19" s="10"/>
      <c r="LSQ19" s="10"/>
      <c r="LSR19" s="10"/>
      <c r="LSS19" s="10"/>
      <c r="LST19" s="10"/>
      <c r="LSU19" s="10"/>
      <c r="LSV19" s="10"/>
      <c r="LSW19" s="10"/>
      <c r="LSX19" s="10"/>
      <c r="LSY19" s="10"/>
      <c r="LSZ19" s="10"/>
      <c r="LTA19" s="10"/>
      <c r="LTB19" s="10"/>
      <c r="LTC19" s="10"/>
      <c r="LTD19" s="10"/>
      <c r="LTE19" s="10"/>
      <c r="LTF19" s="10"/>
      <c r="LTG19" s="10"/>
      <c r="LTH19" s="10"/>
      <c r="LTI19" s="10"/>
      <c r="LTJ19" s="10"/>
      <c r="LTK19" s="10"/>
      <c r="LTL19" s="10"/>
      <c r="LTM19" s="10"/>
      <c r="LTN19" s="10"/>
      <c r="LTO19" s="10"/>
      <c r="LTP19" s="10"/>
      <c r="LTQ19" s="10"/>
      <c r="LTR19" s="10"/>
      <c r="LTS19" s="10"/>
      <c r="LTT19" s="10"/>
      <c r="LTU19" s="10"/>
      <c r="LTV19" s="10"/>
      <c r="LTW19" s="10"/>
      <c r="LTX19" s="10"/>
      <c r="LTY19" s="10"/>
      <c r="LTZ19" s="10"/>
      <c r="LUA19" s="10"/>
      <c r="LUB19" s="10"/>
      <c r="LUC19" s="10"/>
      <c r="LUD19" s="10"/>
      <c r="LUE19" s="10"/>
      <c r="LUF19" s="10"/>
      <c r="LUG19" s="10"/>
      <c r="LUH19" s="10"/>
      <c r="LUI19" s="10"/>
      <c r="LUJ19" s="10"/>
      <c r="LUK19" s="10"/>
      <c r="LUL19" s="10"/>
      <c r="LUM19" s="10"/>
      <c r="LUN19" s="10"/>
      <c r="LUO19" s="10"/>
      <c r="LUP19" s="10"/>
      <c r="LUQ19" s="10"/>
      <c r="LUR19" s="10"/>
      <c r="LUS19" s="10"/>
      <c r="LUT19" s="10"/>
      <c r="LUU19" s="10"/>
      <c r="LUV19" s="10"/>
      <c r="LUW19" s="10"/>
      <c r="LUX19" s="10"/>
      <c r="LUY19" s="10"/>
      <c r="LUZ19" s="10"/>
      <c r="LVA19" s="10"/>
      <c r="LVB19" s="10"/>
      <c r="LVC19" s="10"/>
      <c r="LVD19" s="10"/>
      <c r="LVE19" s="10"/>
      <c r="LVF19" s="10"/>
      <c r="LVG19" s="10"/>
      <c r="LVH19" s="10"/>
      <c r="LVI19" s="10"/>
      <c r="LVJ19" s="10"/>
      <c r="LVK19" s="10"/>
      <c r="LVL19" s="10"/>
      <c r="LVM19" s="10"/>
      <c r="LVN19" s="10"/>
      <c r="LVO19" s="10"/>
      <c r="LVP19" s="10"/>
      <c r="LVQ19" s="10"/>
      <c r="LVR19" s="10"/>
      <c r="LVS19" s="10"/>
      <c r="LVT19" s="10"/>
      <c r="LVU19" s="10"/>
      <c r="LVV19" s="10"/>
      <c r="LVW19" s="10"/>
      <c r="LVX19" s="10"/>
      <c r="LVY19" s="10"/>
      <c r="LVZ19" s="10"/>
      <c r="LWA19" s="10"/>
      <c r="LWB19" s="10"/>
      <c r="LWC19" s="10"/>
      <c r="LWD19" s="10"/>
      <c r="LWE19" s="10"/>
      <c r="LWF19" s="10"/>
      <c r="LWG19" s="10"/>
      <c r="LWH19" s="10"/>
      <c r="LWI19" s="10"/>
      <c r="LWJ19" s="10"/>
      <c r="LWK19" s="10"/>
      <c r="LWL19" s="10"/>
      <c r="LWM19" s="10"/>
      <c r="LWN19" s="10"/>
      <c r="LWO19" s="10"/>
      <c r="LWP19" s="10"/>
      <c r="LWQ19" s="10"/>
      <c r="LWR19" s="10"/>
      <c r="LWS19" s="10"/>
      <c r="LWT19" s="10"/>
      <c r="LWU19" s="10"/>
      <c r="LWV19" s="10"/>
      <c r="LWW19" s="10"/>
      <c r="LWX19" s="10"/>
      <c r="LWY19" s="10"/>
      <c r="LWZ19" s="10"/>
      <c r="LXA19" s="10"/>
      <c r="LXB19" s="10"/>
      <c r="LXC19" s="10"/>
      <c r="LXD19" s="10"/>
      <c r="LXE19" s="10"/>
      <c r="LXF19" s="10"/>
      <c r="LXG19" s="10"/>
      <c r="LXH19" s="10"/>
      <c r="LXI19" s="10"/>
      <c r="LXJ19" s="10"/>
      <c r="LXK19" s="10"/>
      <c r="LXL19" s="10"/>
      <c r="LXM19" s="10"/>
      <c r="LXN19" s="10"/>
      <c r="LXO19" s="10"/>
      <c r="LXP19" s="10"/>
      <c r="LXQ19" s="10"/>
      <c r="LXR19" s="10"/>
      <c r="LXS19" s="10"/>
      <c r="LXT19" s="10"/>
      <c r="LXU19" s="10"/>
      <c r="LXV19" s="10"/>
      <c r="LXW19" s="10"/>
      <c r="LXX19" s="10"/>
      <c r="LXY19" s="10"/>
      <c r="LXZ19" s="10"/>
      <c r="LYA19" s="10"/>
      <c r="LYB19" s="10"/>
      <c r="LYC19" s="10"/>
      <c r="LYD19" s="10"/>
      <c r="LYE19" s="10"/>
      <c r="LYF19" s="10"/>
      <c r="LYG19" s="10"/>
      <c r="LYH19" s="10"/>
      <c r="LYI19" s="10"/>
      <c r="LYJ19" s="10"/>
      <c r="LYK19" s="10"/>
      <c r="LYL19" s="10"/>
      <c r="LYM19" s="10"/>
      <c r="LYN19" s="10"/>
      <c r="LYO19" s="10"/>
      <c r="LYP19" s="10"/>
      <c r="LYQ19" s="10"/>
      <c r="LYR19" s="10"/>
      <c r="LYS19" s="10"/>
      <c r="LYT19" s="10"/>
      <c r="LYU19" s="10"/>
      <c r="LYV19" s="10"/>
      <c r="LYW19" s="10"/>
      <c r="LYX19" s="10"/>
      <c r="LYY19" s="10"/>
      <c r="LYZ19" s="10"/>
      <c r="LZA19" s="10"/>
      <c r="LZB19" s="10"/>
      <c r="LZC19" s="10"/>
      <c r="LZD19" s="10"/>
      <c r="LZE19" s="10"/>
      <c r="LZF19" s="10"/>
      <c r="LZG19" s="10"/>
      <c r="LZH19" s="10"/>
      <c r="LZI19" s="10"/>
      <c r="LZJ19" s="10"/>
      <c r="LZK19" s="10"/>
      <c r="LZL19" s="10"/>
      <c r="LZM19" s="10"/>
      <c r="LZN19" s="10"/>
      <c r="LZO19" s="10"/>
      <c r="LZP19" s="10"/>
      <c r="LZQ19" s="10"/>
      <c r="LZR19" s="10"/>
      <c r="LZS19" s="10"/>
      <c r="LZT19" s="10"/>
      <c r="LZU19" s="10"/>
      <c r="LZV19" s="10"/>
      <c r="LZW19" s="10"/>
      <c r="LZX19" s="10"/>
      <c r="LZY19" s="10"/>
      <c r="LZZ19" s="10"/>
      <c r="MAA19" s="10"/>
      <c r="MAB19" s="10"/>
      <c r="MAC19" s="10"/>
      <c r="MAD19" s="10"/>
      <c r="MAE19" s="10"/>
      <c r="MAF19" s="10"/>
      <c r="MAG19" s="10"/>
      <c r="MAH19" s="10"/>
      <c r="MAI19" s="10"/>
      <c r="MAJ19" s="10"/>
      <c r="MAK19" s="10"/>
      <c r="MAL19" s="10"/>
      <c r="MAM19" s="10"/>
      <c r="MAN19" s="10"/>
      <c r="MAO19" s="10"/>
      <c r="MAP19" s="10"/>
      <c r="MAQ19" s="10"/>
      <c r="MAR19" s="10"/>
      <c r="MAS19" s="10"/>
      <c r="MAT19" s="10"/>
      <c r="MAU19" s="10"/>
      <c r="MAV19" s="10"/>
      <c r="MAW19" s="10"/>
      <c r="MAX19" s="10"/>
      <c r="MAY19" s="10"/>
      <c r="MAZ19" s="10"/>
      <c r="MBA19" s="10"/>
      <c r="MBB19" s="10"/>
      <c r="MBC19" s="10"/>
      <c r="MBD19" s="10"/>
      <c r="MBE19" s="10"/>
      <c r="MBF19" s="10"/>
      <c r="MBG19" s="10"/>
      <c r="MBH19" s="10"/>
      <c r="MBI19" s="10"/>
      <c r="MBJ19" s="10"/>
      <c r="MBK19" s="10"/>
      <c r="MBL19" s="10"/>
      <c r="MBM19" s="10"/>
      <c r="MBN19" s="10"/>
      <c r="MBO19" s="10"/>
      <c r="MBP19" s="10"/>
      <c r="MBQ19" s="10"/>
      <c r="MBR19" s="10"/>
      <c r="MBS19" s="10"/>
      <c r="MBT19" s="10"/>
      <c r="MBU19" s="10"/>
      <c r="MBV19" s="10"/>
      <c r="MBW19" s="10"/>
      <c r="MBX19" s="10"/>
      <c r="MBY19" s="10"/>
      <c r="MBZ19" s="10"/>
      <c r="MCA19" s="10"/>
      <c r="MCB19" s="10"/>
      <c r="MCC19" s="10"/>
      <c r="MCD19" s="10"/>
      <c r="MCE19" s="10"/>
      <c r="MCF19" s="10"/>
      <c r="MCG19" s="10"/>
      <c r="MCH19" s="10"/>
      <c r="MCI19" s="10"/>
      <c r="MCJ19" s="10"/>
      <c r="MCK19" s="10"/>
      <c r="MCL19" s="10"/>
      <c r="MCM19" s="10"/>
      <c r="MCN19" s="10"/>
      <c r="MCO19" s="10"/>
      <c r="MCP19" s="10"/>
      <c r="MCQ19" s="10"/>
      <c r="MCR19" s="10"/>
      <c r="MCS19" s="10"/>
      <c r="MCT19" s="10"/>
      <c r="MCU19" s="10"/>
      <c r="MCV19" s="10"/>
      <c r="MCW19" s="10"/>
      <c r="MCX19" s="10"/>
      <c r="MCY19" s="10"/>
      <c r="MCZ19" s="10"/>
      <c r="MDA19" s="10"/>
      <c r="MDB19" s="10"/>
      <c r="MDC19" s="10"/>
      <c r="MDD19" s="10"/>
      <c r="MDE19" s="10"/>
      <c r="MDF19" s="10"/>
      <c r="MDG19" s="10"/>
      <c r="MDH19" s="10"/>
      <c r="MDI19" s="10"/>
      <c r="MDJ19" s="10"/>
      <c r="MDK19" s="10"/>
      <c r="MDL19" s="10"/>
      <c r="MDM19" s="10"/>
      <c r="MDN19" s="10"/>
      <c r="MDO19" s="10"/>
      <c r="MDP19" s="10"/>
      <c r="MDQ19" s="10"/>
      <c r="MDR19" s="10"/>
      <c r="MDS19" s="10"/>
      <c r="MDT19" s="10"/>
      <c r="MDU19" s="10"/>
      <c r="MDV19" s="10"/>
      <c r="MDW19" s="10"/>
      <c r="MDX19" s="10"/>
      <c r="MDY19" s="10"/>
      <c r="MDZ19" s="10"/>
      <c r="MEA19" s="10"/>
      <c r="MEB19" s="10"/>
      <c r="MEC19" s="10"/>
      <c r="MED19" s="10"/>
      <c r="MEE19" s="10"/>
      <c r="MEF19" s="10"/>
      <c r="MEG19" s="10"/>
      <c r="MEH19" s="10"/>
      <c r="MEI19" s="10"/>
      <c r="MEJ19" s="10"/>
      <c r="MEK19" s="10"/>
      <c r="MEL19" s="10"/>
      <c r="MEM19" s="10"/>
      <c r="MEN19" s="10"/>
      <c r="MEO19" s="10"/>
      <c r="MEP19" s="10"/>
      <c r="MEQ19" s="10"/>
      <c r="MER19" s="10"/>
      <c r="MES19" s="10"/>
      <c r="MET19" s="10"/>
      <c r="MEU19" s="10"/>
      <c r="MEV19" s="10"/>
      <c r="MEW19" s="10"/>
      <c r="MEX19" s="10"/>
      <c r="MEY19" s="10"/>
      <c r="MEZ19" s="10"/>
      <c r="MFA19" s="10"/>
      <c r="MFB19" s="10"/>
      <c r="MFC19" s="10"/>
      <c r="MFD19" s="10"/>
      <c r="MFE19" s="10"/>
      <c r="MFF19" s="10"/>
      <c r="MFG19" s="10"/>
      <c r="MFH19" s="10"/>
      <c r="MFI19" s="10"/>
      <c r="MFJ19" s="10"/>
      <c r="MFK19" s="10"/>
      <c r="MFL19" s="10"/>
      <c r="MFM19" s="10"/>
      <c r="MFN19" s="10"/>
      <c r="MFO19" s="10"/>
      <c r="MFP19" s="10"/>
      <c r="MFQ19" s="10"/>
      <c r="MFR19" s="10"/>
      <c r="MFS19" s="10"/>
      <c r="MFT19" s="10"/>
      <c r="MFU19" s="10"/>
      <c r="MFV19" s="10"/>
      <c r="MFW19" s="10"/>
      <c r="MFX19" s="10"/>
      <c r="MFY19" s="10"/>
      <c r="MFZ19" s="10"/>
      <c r="MGA19" s="10"/>
      <c r="MGB19" s="10"/>
      <c r="MGC19" s="10"/>
      <c r="MGD19" s="10"/>
      <c r="MGE19" s="10"/>
      <c r="MGF19" s="10"/>
      <c r="MGG19" s="10"/>
      <c r="MGH19" s="10"/>
      <c r="MGI19" s="10"/>
      <c r="MGJ19" s="10"/>
      <c r="MGK19" s="10"/>
      <c r="MGL19" s="10"/>
      <c r="MGM19" s="10"/>
      <c r="MGN19" s="10"/>
      <c r="MGO19" s="10"/>
      <c r="MGP19" s="10"/>
      <c r="MGQ19" s="10"/>
      <c r="MGR19" s="10"/>
      <c r="MGS19" s="10"/>
      <c r="MGT19" s="10"/>
      <c r="MGU19" s="10"/>
      <c r="MGV19" s="10"/>
      <c r="MGW19" s="10"/>
      <c r="MGX19" s="10"/>
      <c r="MGY19" s="10"/>
      <c r="MGZ19" s="10"/>
      <c r="MHA19" s="10"/>
      <c r="MHB19" s="10"/>
      <c r="MHC19" s="10"/>
      <c r="MHD19" s="10"/>
      <c r="MHE19" s="10"/>
      <c r="MHF19" s="10"/>
      <c r="MHG19" s="10"/>
      <c r="MHH19" s="10"/>
      <c r="MHI19" s="10"/>
      <c r="MHJ19" s="10"/>
      <c r="MHK19" s="10"/>
      <c r="MHL19" s="10"/>
      <c r="MHM19" s="10"/>
      <c r="MHN19" s="10"/>
      <c r="MHO19" s="10"/>
      <c r="MHP19" s="10"/>
      <c r="MHQ19" s="10"/>
      <c r="MHR19" s="10"/>
      <c r="MHS19" s="10"/>
      <c r="MHT19" s="10"/>
      <c r="MHU19" s="10"/>
      <c r="MHV19" s="10"/>
      <c r="MHW19" s="10"/>
      <c r="MHX19" s="10"/>
      <c r="MHY19" s="10"/>
      <c r="MHZ19" s="10"/>
      <c r="MIA19" s="10"/>
      <c r="MIB19" s="10"/>
      <c r="MIC19" s="10"/>
      <c r="MID19" s="10"/>
      <c r="MIE19" s="10"/>
      <c r="MIF19" s="10"/>
      <c r="MIG19" s="10"/>
      <c r="MIH19" s="10"/>
      <c r="MII19" s="10"/>
      <c r="MIJ19" s="10"/>
      <c r="MIK19" s="10"/>
      <c r="MIL19" s="10"/>
      <c r="MIM19" s="10"/>
      <c r="MIN19" s="10"/>
      <c r="MIO19" s="10"/>
      <c r="MIP19" s="10"/>
      <c r="MIQ19" s="10"/>
      <c r="MIR19" s="10"/>
      <c r="MIS19" s="10"/>
      <c r="MIT19" s="10"/>
      <c r="MIU19" s="10"/>
      <c r="MIV19" s="10"/>
      <c r="MIW19" s="10"/>
      <c r="MIX19" s="10"/>
      <c r="MIY19" s="10"/>
      <c r="MIZ19" s="10"/>
      <c r="MJA19" s="10"/>
      <c r="MJB19" s="10"/>
      <c r="MJC19" s="10"/>
      <c r="MJD19" s="10"/>
      <c r="MJE19" s="10"/>
      <c r="MJF19" s="10"/>
      <c r="MJG19" s="10"/>
      <c r="MJH19" s="10"/>
      <c r="MJI19" s="10"/>
      <c r="MJJ19" s="10"/>
      <c r="MJK19" s="10"/>
      <c r="MJL19" s="10"/>
      <c r="MJM19" s="10"/>
      <c r="MJN19" s="10"/>
      <c r="MJO19" s="10"/>
      <c r="MJP19" s="10"/>
      <c r="MJQ19" s="10"/>
      <c r="MJR19" s="10"/>
      <c r="MJS19" s="10"/>
      <c r="MJT19" s="10"/>
      <c r="MJU19" s="10"/>
      <c r="MJV19" s="10"/>
      <c r="MJW19" s="10"/>
      <c r="MJX19" s="10"/>
      <c r="MJY19" s="10"/>
      <c r="MJZ19" s="10"/>
      <c r="MKA19" s="10"/>
      <c r="MKB19" s="10"/>
      <c r="MKC19" s="10"/>
      <c r="MKD19" s="10"/>
      <c r="MKE19" s="10"/>
      <c r="MKF19" s="10"/>
      <c r="MKG19" s="10"/>
      <c r="MKH19" s="10"/>
      <c r="MKI19" s="10"/>
      <c r="MKJ19" s="10"/>
      <c r="MKK19" s="10"/>
      <c r="MKL19" s="10"/>
      <c r="MKM19" s="10"/>
      <c r="MKN19" s="10"/>
      <c r="MKO19" s="10"/>
      <c r="MKP19" s="10"/>
      <c r="MKQ19" s="10"/>
      <c r="MKR19" s="10"/>
      <c r="MKS19" s="10"/>
      <c r="MKT19" s="10"/>
      <c r="MKU19" s="10"/>
      <c r="MKV19" s="10"/>
      <c r="MKW19" s="10"/>
      <c r="MKX19" s="10"/>
      <c r="MKY19" s="10"/>
      <c r="MKZ19" s="10"/>
      <c r="MLA19" s="10"/>
      <c r="MLB19" s="10"/>
      <c r="MLC19" s="10"/>
      <c r="MLD19" s="10"/>
      <c r="MLE19" s="10"/>
      <c r="MLF19" s="10"/>
      <c r="MLG19" s="10"/>
      <c r="MLH19" s="10"/>
      <c r="MLI19" s="10"/>
      <c r="MLJ19" s="10"/>
      <c r="MLK19" s="10"/>
      <c r="MLL19" s="10"/>
      <c r="MLM19" s="10"/>
      <c r="MLN19" s="10"/>
      <c r="MLO19" s="10"/>
      <c r="MLP19" s="10"/>
      <c r="MLQ19" s="10"/>
      <c r="MLR19" s="10"/>
      <c r="MLS19" s="10"/>
      <c r="MLT19" s="10"/>
      <c r="MLU19" s="10"/>
      <c r="MLV19" s="10"/>
      <c r="MLW19" s="10"/>
      <c r="MLX19" s="10"/>
      <c r="MLY19" s="10"/>
      <c r="MLZ19" s="10"/>
      <c r="MMA19" s="10"/>
      <c r="MMB19" s="10"/>
      <c r="MMC19" s="10"/>
      <c r="MMD19" s="10"/>
      <c r="MME19" s="10"/>
      <c r="MMF19" s="10"/>
      <c r="MMG19" s="10"/>
      <c r="MMH19" s="10"/>
      <c r="MMI19" s="10"/>
      <c r="MMJ19" s="10"/>
      <c r="MMK19" s="10"/>
      <c r="MML19" s="10"/>
      <c r="MMM19" s="10"/>
      <c r="MMN19" s="10"/>
      <c r="MMO19" s="10"/>
      <c r="MMP19" s="10"/>
      <c r="MMQ19" s="10"/>
      <c r="MMR19" s="10"/>
      <c r="MMS19" s="10"/>
      <c r="MMT19" s="10"/>
      <c r="MMU19" s="10"/>
      <c r="MMV19" s="10"/>
      <c r="MMW19" s="10"/>
      <c r="MMX19" s="10"/>
      <c r="MMY19" s="10"/>
      <c r="MMZ19" s="10"/>
      <c r="MNA19" s="10"/>
      <c r="MNB19" s="10"/>
      <c r="MNC19" s="10"/>
      <c r="MND19" s="10"/>
      <c r="MNE19" s="10"/>
      <c r="MNF19" s="10"/>
      <c r="MNG19" s="10"/>
      <c r="MNH19" s="10"/>
      <c r="MNI19" s="10"/>
      <c r="MNJ19" s="10"/>
      <c r="MNK19" s="10"/>
      <c r="MNL19" s="10"/>
      <c r="MNM19" s="10"/>
      <c r="MNN19" s="10"/>
      <c r="MNO19" s="10"/>
      <c r="MNP19" s="10"/>
      <c r="MNQ19" s="10"/>
      <c r="MNR19" s="10"/>
      <c r="MNS19" s="10"/>
      <c r="MNT19" s="10"/>
      <c r="MNU19" s="10"/>
      <c r="MNV19" s="10"/>
      <c r="MNW19" s="10"/>
      <c r="MNX19" s="10"/>
      <c r="MNY19" s="10"/>
      <c r="MNZ19" s="10"/>
      <c r="MOA19" s="10"/>
      <c r="MOB19" s="10"/>
      <c r="MOC19" s="10"/>
      <c r="MOD19" s="10"/>
      <c r="MOE19" s="10"/>
      <c r="MOF19" s="10"/>
      <c r="MOG19" s="10"/>
      <c r="MOH19" s="10"/>
      <c r="MOI19" s="10"/>
      <c r="MOJ19" s="10"/>
      <c r="MOK19" s="10"/>
      <c r="MOL19" s="10"/>
      <c r="MOM19" s="10"/>
      <c r="MON19" s="10"/>
      <c r="MOO19" s="10"/>
      <c r="MOP19" s="10"/>
      <c r="MOQ19" s="10"/>
      <c r="MOR19" s="10"/>
      <c r="MOS19" s="10"/>
      <c r="MOT19" s="10"/>
      <c r="MOU19" s="10"/>
      <c r="MOV19" s="10"/>
      <c r="MOW19" s="10"/>
      <c r="MOX19" s="10"/>
      <c r="MOY19" s="10"/>
      <c r="MOZ19" s="10"/>
      <c r="MPA19" s="10"/>
      <c r="MPB19" s="10"/>
      <c r="MPC19" s="10"/>
      <c r="MPD19" s="10"/>
      <c r="MPE19" s="10"/>
      <c r="MPF19" s="10"/>
      <c r="MPG19" s="10"/>
      <c r="MPH19" s="10"/>
      <c r="MPI19" s="10"/>
      <c r="MPJ19" s="10"/>
      <c r="MPK19" s="10"/>
      <c r="MPL19" s="10"/>
      <c r="MPM19" s="10"/>
      <c r="MPN19" s="10"/>
      <c r="MPO19" s="10"/>
      <c r="MPP19" s="10"/>
      <c r="MPQ19" s="10"/>
      <c r="MPR19" s="10"/>
      <c r="MPS19" s="10"/>
      <c r="MPT19" s="10"/>
      <c r="MPU19" s="10"/>
      <c r="MPV19" s="10"/>
      <c r="MPW19" s="10"/>
      <c r="MPX19" s="10"/>
      <c r="MPY19" s="10"/>
      <c r="MPZ19" s="10"/>
      <c r="MQA19" s="10"/>
      <c r="MQB19" s="10"/>
      <c r="MQC19" s="10"/>
      <c r="MQD19" s="10"/>
      <c r="MQE19" s="10"/>
      <c r="MQF19" s="10"/>
      <c r="MQG19" s="10"/>
      <c r="MQH19" s="10"/>
      <c r="MQI19" s="10"/>
      <c r="MQJ19" s="10"/>
      <c r="MQK19" s="10"/>
      <c r="MQL19" s="10"/>
      <c r="MQM19" s="10"/>
      <c r="MQN19" s="10"/>
      <c r="MQO19" s="10"/>
      <c r="MQP19" s="10"/>
      <c r="MQQ19" s="10"/>
      <c r="MQR19" s="10"/>
      <c r="MQS19" s="10"/>
      <c r="MQT19" s="10"/>
      <c r="MQU19" s="10"/>
      <c r="MQV19" s="10"/>
      <c r="MQW19" s="10"/>
      <c r="MQX19" s="10"/>
      <c r="MQY19" s="10"/>
      <c r="MQZ19" s="10"/>
      <c r="MRA19" s="10"/>
      <c r="MRB19" s="10"/>
      <c r="MRC19" s="10"/>
      <c r="MRD19" s="10"/>
      <c r="MRE19" s="10"/>
      <c r="MRF19" s="10"/>
      <c r="MRG19" s="10"/>
      <c r="MRH19" s="10"/>
      <c r="MRI19" s="10"/>
      <c r="MRJ19" s="10"/>
      <c r="MRK19" s="10"/>
      <c r="MRL19" s="10"/>
      <c r="MRM19" s="10"/>
      <c r="MRN19" s="10"/>
      <c r="MRO19" s="10"/>
      <c r="MRP19" s="10"/>
      <c r="MRQ19" s="10"/>
      <c r="MRR19" s="10"/>
      <c r="MRS19" s="10"/>
      <c r="MRT19" s="10"/>
      <c r="MRU19" s="10"/>
      <c r="MRV19" s="10"/>
      <c r="MRW19" s="10"/>
      <c r="MRX19" s="10"/>
      <c r="MRY19" s="10"/>
      <c r="MRZ19" s="10"/>
      <c r="MSA19" s="10"/>
      <c r="MSB19" s="10"/>
      <c r="MSC19" s="10"/>
      <c r="MSD19" s="10"/>
      <c r="MSE19" s="10"/>
      <c r="MSF19" s="10"/>
      <c r="MSG19" s="10"/>
      <c r="MSH19" s="10"/>
      <c r="MSI19" s="10"/>
      <c r="MSJ19" s="10"/>
      <c r="MSK19" s="10"/>
      <c r="MSL19" s="10"/>
      <c r="MSM19" s="10"/>
      <c r="MSN19" s="10"/>
      <c r="MSO19" s="10"/>
      <c r="MSP19" s="10"/>
      <c r="MSQ19" s="10"/>
      <c r="MSR19" s="10"/>
      <c r="MSS19" s="10"/>
      <c r="MST19" s="10"/>
      <c r="MSU19" s="10"/>
      <c r="MSV19" s="10"/>
      <c r="MSW19" s="10"/>
      <c r="MSX19" s="10"/>
      <c r="MSY19" s="10"/>
      <c r="MSZ19" s="10"/>
      <c r="MTA19" s="10"/>
      <c r="MTB19" s="10"/>
      <c r="MTC19" s="10"/>
      <c r="MTD19" s="10"/>
      <c r="MTE19" s="10"/>
      <c r="MTF19" s="10"/>
      <c r="MTG19" s="10"/>
      <c r="MTH19" s="10"/>
      <c r="MTI19" s="10"/>
      <c r="MTJ19" s="10"/>
      <c r="MTK19" s="10"/>
      <c r="MTL19" s="10"/>
      <c r="MTM19" s="10"/>
      <c r="MTN19" s="10"/>
      <c r="MTO19" s="10"/>
      <c r="MTP19" s="10"/>
      <c r="MTQ19" s="10"/>
      <c r="MTR19" s="10"/>
      <c r="MTS19" s="10"/>
      <c r="MTT19" s="10"/>
      <c r="MTU19" s="10"/>
      <c r="MTV19" s="10"/>
      <c r="MTW19" s="10"/>
      <c r="MTX19" s="10"/>
      <c r="MTY19" s="10"/>
      <c r="MTZ19" s="10"/>
      <c r="MUA19" s="10"/>
      <c r="MUB19" s="10"/>
      <c r="MUC19" s="10"/>
      <c r="MUD19" s="10"/>
      <c r="MUE19" s="10"/>
      <c r="MUF19" s="10"/>
      <c r="MUG19" s="10"/>
      <c r="MUH19" s="10"/>
      <c r="MUI19" s="10"/>
      <c r="MUJ19" s="10"/>
      <c r="MUK19" s="10"/>
      <c r="MUL19" s="10"/>
      <c r="MUM19" s="10"/>
      <c r="MUN19" s="10"/>
      <c r="MUO19" s="10"/>
      <c r="MUP19" s="10"/>
      <c r="MUQ19" s="10"/>
      <c r="MUR19" s="10"/>
      <c r="MUS19" s="10"/>
      <c r="MUT19" s="10"/>
      <c r="MUU19" s="10"/>
      <c r="MUV19" s="10"/>
      <c r="MUW19" s="10"/>
      <c r="MUX19" s="10"/>
      <c r="MUY19" s="10"/>
      <c r="MUZ19" s="10"/>
      <c r="MVA19" s="10"/>
      <c r="MVB19" s="10"/>
      <c r="MVC19" s="10"/>
      <c r="MVD19" s="10"/>
      <c r="MVE19" s="10"/>
      <c r="MVF19" s="10"/>
      <c r="MVG19" s="10"/>
      <c r="MVH19" s="10"/>
      <c r="MVI19" s="10"/>
      <c r="MVJ19" s="10"/>
      <c r="MVK19" s="10"/>
      <c r="MVL19" s="10"/>
      <c r="MVM19" s="10"/>
      <c r="MVN19" s="10"/>
      <c r="MVO19" s="10"/>
      <c r="MVP19" s="10"/>
      <c r="MVQ19" s="10"/>
      <c r="MVR19" s="10"/>
      <c r="MVS19" s="10"/>
      <c r="MVT19" s="10"/>
      <c r="MVU19" s="10"/>
      <c r="MVV19" s="10"/>
      <c r="MVW19" s="10"/>
      <c r="MVX19" s="10"/>
      <c r="MVY19" s="10"/>
      <c r="MVZ19" s="10"/>
      <c r="MWA19" s="10"/>
      <c r="MWB19" s="10"/>
      <c r="MWC19" s="10"/>
      <c r="MWD19" s="10"/>
      <c r="MWE19" s="10"/>
      <c r="MWF19" s="10"/>
      <c r="MWG19" s="10"/>
      <c r="MWH19" s="10"/>
      <c r="MWI19" s="10"/>
      <c r="MWJ19" s="10"/>
      <c r="MWK19" s="10"/>
      <c r="MWL19" s="10"/>
      <c r="MWM19" s="10"/>
      <c r="MWN19" s="10"/>
      <c r="MWO19" s="10"/>
      <c r="MWP19" s="10"/>
      <c r="MWQ19" s="10"/>
      <c r="MWR19" s="10"/>
      <c r="MWS19" s="10"/>
      <c r="MWT19" s="10"/>
      <c r="MWU19" s="10"/>
      <c r="MWV19" s="10"/>
      <c r="MWW19" s="10"/>
      <c r="MWX19" s="10"/>
      <c r="MWY19" s="10"/>
      <c r="MWZ19" s="10"/>
      <c r="MXA19" s="10"/>
      <c r="MXB19" s="10"/>
      <c r="MXC19" s="10"/>
      <c r="MXD19" s="10"/>
      <c r="MXE19" s="10"/>
      <c r="MXF19" s="10"/>
      <c r="MXG19" s="10"/>
      <c r="MXH19" s="10"/>
      <c r="MXI19" s="10"/>
      <c r="MXJ19" s="10"/>
      <c r="MXK19" s="10"/>
      <c r="MXL19" s="10"/>
      <c r="MXM19" s="10"/>
      <c r="MXN19" s="10"/>
      <c r="MXO19" s="10"/>
      <c r="MXP19" s="10"/>
      <c r="MXQ19" s="10"/>
      <c r="MXR19" s="10"/>
      <c r="MXS19" s="10"/>
      <c r="MXT19" s="10"/>
      <c r="MXU19" s="10"/>
      <c r="MXV19" s="10"/>
      <c r="MXW19" s="10"/>
      <c r="MXX19" s="10"/>
      <c r="MXY19" s="10"/>
      <c r="MXZ19" s="10"/>
      <c r="MYA19" s="10"/>
      <c r="MYB19" s="10"/>
      <c r="MYC19" s="10"/>
      <c r="MYD19" s="10"/>
      <c r="MYE19" s="10"/>
      <c r="MYF19" s="10"/>
      <c r="MYG19" s="10"/>
      <c r="MYH19" s="10"/>
      <c r="MYI19" s="10"/>
      <c r="MYJ19" s="10"/>
      <c r="MYK19" s="10"/>
      <c r="MYL19" s="10"/>
      <c r="MYM19" s="10"/>
      <c r="MYN19" s="10"/>
      <c r="MYO19" s="10"/>
      <c r="MYP19" s="10"/>
      <c r="MYQ19" s="10"/>
      <c r="MYR19" s="10"/>
      <c r="MYS19" s="10"/>
      <c r="MYT19" s="10"/>
      <c r="MYU19" s="10"/>
      <c r="MYV19" s="10"/>
      <c r="MYW19" s="10"/>
      <c r="MYX19" s="10"/>
      <c r="MYY19" s="10"/>
      <c r="MYZ19" s="10"/>
      <c r="MZA19" s="10"/>
      <c r="MZB19" s="10"/>
      <c r="MZC19" s="10"/>
      <c r="MZD19" s="10"/>
      <c r="MZE19" s="10"/>
      <c r="MZF19" s="10"/>
      <c r="MZG19" s="10"/>
      <c r="MZH19" s="10"/>
      <c r="MZI19" s="10"/>
      <c r="MZJ19" s="10"/>
      <c r="MZK19" s="10"/>
      <c r="MZL19" s="10"/>
      <c r="MZM19" s="10"/>
      <c r="MZN19" s="10"/>
      <c r="MZO19" s="10"/>
      <c r="MZP19" s="10"/>
      <c r="MZQ19" s="10"/>
      <c r="MZR19" s="10"/>
      <c r="MZS19" s="10"/>
      <c r="MZT19" s="10"/>
      <c r="MZU19" s="10"/>
      <c r="MZV19" s="10"/>
      <c r="MZW19" s="10"/>
      <c r="MZX19" s="10"/>
      <c r="MZY19" s="10"/>
      <c r="MZZ19" s="10"/>
      <c r="NAA19" s="10"/>
      <c r="NAB19" s="10"/>
      <c r="NAC19" s="10"/>
      <c r="NAD19" s="10"/>
      <c r="NAE19" s="10"/>
      <c r="NAF19" s="10"/>
      <c r="NAG19" s="10"/>
      <c r="NAH19" s="10"/>
      <c r="NAI19" s="10"/>
      <c r="NAJ19" s="10"/>
      <c r="NAK19" s="10"/>
      <c r="NAL19" s="10"/>
      <c r="NAM19" s="10"/>
      <c r="NAN19" s="10"/>
      <c r="NAO19" s="10"/>
      <c r="NAP19" s="10"/>
      <c r="NAQ19" s="10"/>
      <c r="NAR19" s="10"/>
      <c r="NAS19" s="10"/>
      <c r="NAT19" s="10"/>
      <c r="NAU19" s="10"/>
      <c r="NAV19" s="10"/>
      <c r="NAW19" s="10"/>
      <c r="NAX19" s="10"/>
      <c r="NAY19" s="10"/>
      <c r="NAZ19" s="10"/>
      <c r="NBA19" s="10"/>
      <c r="NBB19" s="10"/>
      <c r="NBC19" s="10"/>
      <c r="NBD19" s="10"/>
      <c r="NBE19" s="10"/>
      <c r="NBF19" s="10"/>
      <c r="NBG19" s="10"/>
      <c r="NBH19" s="10"/>
      <c r="NBI19" s="10"/>
      <c r="NBJ19" s="10"/>
      <c r="NBK19" s="10"/>
      <c r="NBL19" s="10"/>
      <c r="NBM19" s="10"/>
      <c r="NBN19" s="10"/>
      <c r="NBO19" s="10"/>
      <c r="NBP19" s="10"/>
      <c r="NBQ19" s="10"/>
      <c r="NBR19" s="10"/>
      <c r="NBS19" s="10"/>
      <c r="NBT19" s="10"/>
      <c r="NBU19" s="10"/>
      <c r="NBV19" s="10"/>
      <c r="NBW19" s="10"/>
      <c r="NBX19" s="10"/>
      <c r="NBY19" s="10"/>
      <c r="NBZ19" s="10"/>
      <c r="NCA19" s="10"/>
      <c r="NCB19" s="10"/>
      <c r="NCC19" s="10"/>
      <c r="NCD19" s="10"/>
      <c r="NCE19" s="10"/>
      <c r="NCF19" s="10"/>
      <c r="NCG19" s="10"/>
      <c r="NCH19" s="10"/>
      <c r="NCI19" s="10"/>
      <c r="NCJ19" s="10"/>
      <c r="NCK19" s="10"/>
      <c r="NCL19" s="10"/>
      <c r="NCM19" s="10"/>
      <c r="NCN19" s="10"/>
      <c r="NCO19" s="10"/>
      <c r="NCP19" s="10"/>
      <c r="NCQ19" s="10"/>
      <c r="NCR19" s="10"/>
      <c r="NCS19" s="10"/>
      <c r="NCT19" s="10"/>
      <c r="NCU19" s="10"/>
      <c r="NCV19" s="10"/>
      <c r="NCW19" s="10"/>
      <c r="NCX19" s="10"/>
      <c r="NCY19" s="10"/>
      <c r="NCZ19" s="10"/>
      <c r="NDA19" s="10"/>
      <c r="NDB19" s="10"/>
      <c r="NDC19" s="10"/>
      <c r="NDD19" s="10"/>
      <c r="NDE19" s="10"/>
      <c r="NDF19" s="10"/>
      <c r="NDG19" s="10"/>
      <c r="NDH19" s="10"/>
      <c r="NDI19" s="10"/>
      <c r="NDJ19" s="10"/>
      <c r="NDK19" s="10"/>
      <c r="NDL19" s="10"/>
      <c r="NDM19" s="10"/>
      <c r="NDN19" s="10"/>
      <c r="NDO19" s="10"/>
      <c r="NDP19" s="10"/>
      <c r="NDQ19" s="10"/>
      <c r="NDR19" s="10"/>
      <c r="NDS19" s="10"/>
      <c r="NDT19" s="10"/>
      <c r="NDU19" s="10"/>
      <c r="NDV19" s="10"/>
      <c r="NDW19" s="10"/>
      <c r="NDX19" s="10"/>
      <c r="NDY19" s="10"/>
      <c r="NDZ19" s="10"/>
      <c r="NEA19" s="10"/>
      <c r="NEB19" s="10"/>
      <c r="NEC19" s="10"/>
      <c r="NED19" s="10"/>
      <c r="NEE19" s="10"/>
      <c r="NEF19" s="10"/>
      <c r="NEG19" s="10"/>
      <c r="NEH19" s="10"/>
      <c r="NEI19" s="10"/>
      <c r="NEJ19" s="10"/>
      <c r="NEK19" s="10"/>
      <c r="NEL19" s="10"/>
      <c r="NEM19" s="10"/>
      <c r="NEN19" s="10"/>
      <c r="NEO19" s="10"/>
      <c r="NEP19" s="10"/>
      <c r="NEQ19" s="10"/>
      <c r="NER19" s="10"/>
      <c r="NES19" s="10"/>
      <c r="NET19" s="10"/>
      <c r="NEU19" s="10"/>
      <c r="NEV19" s="10"/>
      <c r="NEW19" s="10"/>
      <c r="NEX19" s="10"/>
      <c r="NEY19" s="10"/>
      <c r="NEZ19" s="10"/>
      <c r="NFA19" s="10"/>
      <c r="NFB19" s="10"/>
      <c r="NFC19" s="10"/>
      <c r="NFD19" s="10"/>
      <c r="NFE19" s="10"/>
      <c r="NFF19" s="10"/>
      <c r="NFG19" s="10"/>
      <c r="NFH19" s="10"/>
      <c r="NFI19" s="10"/>
      <c r="NFJ19" s="10"/>
      <c r="NFK19" s="10"/>
      <c r="NFL19" s="10"/>
      <c r="NFM19" s="10"/>
      <c r="NFN19" s="10"/>
      <c r="NFO19" s="10"/>
      <c r="NFP19" s="10"/>
      <c r="NFQ19" s="10"/>
      <c r="NFR19" s="10"/>
      <c r="NFS19" s="10"/>
      <c r="NFT19" s="10"/>
      <c r="NFU19" s="10"/>
      <c r="NFV19" s="10"/>
      <c r="NFW19" s="10"/>
      <c r="NFX19" s="10"/>
      <c r="NFY19" s="10"/>
      <c r="NFZ19" s="10"/>
      <c r="NGA19" s="10"/>
      <c r="NGB19" s="10"/>
      <c r="NGC19" s="10"/>
      <c r="NGD19" s="10"/>
      <c r="NGE19" s="10"/>
      <c r="NGF19" s="10"/>
      <c r="NGG19" s="10"/>
      <c r="NGH19" s="10"/>
      <c r="NGI19" s="10"/>
      <c r="NGJ19" s="10"/>
      <c r="NGK19" s="10"/>
      <c r="NGL19" s="10"/>
      <c r="NGM19" s="10"/>
      <c r="NGN19" s="10"/>
      <c r="NGO19" s="10"/>
      <c r="NGP19" s="10"/>
      <c r="NGQ19" s="10"/>
      <c r="NGR19" s="10"/>
      <c r="NGS19" s="10"/>
      <c r="NGT19" s="10"/>
      <c r="NGU19" s="10"/>
      <c r="NGV19" s="10"/>
      <c r="NGW19" s="10"/>
      <c r="NGX19" s="10"/>
      <c r="NGY19" s="10"/>
      <c r="NGZ19" s="10"/>
      <c r="NHA19" s="10"/>
      <c r="NHB19" s="10"/>
      <c r="NHC19" s="10"/>
      <c r="NHD19" s="10"/>
      <c r="NHE19" s="10"/>
      <c r="NHF19" s="10"/>
      <c r="NHG19" s="10"/>
      <c r="NHH19" s="10"/>
      <c r="NHI19" s="10"/>
      <c r="NHJ19" s="10"/>
      <c r="NHK19" s="10"/>
      <c r="NHL19" s="10"/>
      <c r="NHM19" s="10"/>
      <c r="NHN19" s="10"/>
      <c r="NHO19" s="10"/>
      <c r="NHP19" s="10"/>
      <c r="NHQ19" s="10"/>
      <c r="NHR19" s="10"/>
      <c r="NHS19" s="10"/>
      <c r="NHT19" s="10"/>
      <c r="NHU19" s="10"/>
      <c r="NHV19" s="10"/>
      <c r="NHW19" s="10"/>
      <c r="NHX19" s="10"/>
      <c r="NHY19" s="10"/>
      <c r="NHZ19" s="10"/>
      <c r="NIA19" s="10"/>
      <c r="NIB19" s="10"/>
      <c r="NIC19" s="10"/>
      <c r="NID19" s="10"/>
      <c r="NIE19" s="10"/>
      <c r="NIF19" s="10"/>
      <c r="NIG19" s="10"/>
      <c r="NIH19" s="10"/>
      <c r="NII19" s="10"/>
      <c r="NIJ19" s="10"/>
      <c r="NIK19" s="10"/>
      <c r="NIL19" s="10"/>
      <c r="NIM19" s="10"/>
      <c r="NIN19" s="10"/>
      <c r="NIO19" s="10"/>
      <c r="NIP19" s="10"/>
      <c r="NIQ19" s="10"/>
      <c r="NIR19" s="10"/>
      <c r="NIS19" s="10"/>
      <c r="NIT19" s="10"/>
      <c r="NIU19" s="10"/>
      <c r="NIV19" s="10"/>
      <c r="NIW19" s="10"/>
      <c r="NIX19" s="10"/>
      <c r="NIY19" s="10"/>
      <c r="NIZ19" s="10"/>
      <c r="NJA19" s="10"/>
      <c r="NJB19" s="10"/>
      <c r="NJC19" s="10"/>
      <c r="NJD19" s="10"/>
      <c r="NJE19" s="10"/>
      <c r="NJF19" s="10"/>
      <c r="NJG19" s="10"/>
      <c r="NJH19" s="10"/>
      <c r="NJI19" s="10"/>
      <c r="NJJ19" s="10"/>
      <c r="NJK19" s="10"/>
      <c r="NJL19" s="10"/>
      <c r="NJM19" s="10"/>
      <c r="NJN19" s="10"/>
      <c r="NJO19" s="10"/>
      <c r="NJP19" s="10"/>
      <c r="NJQ19" s="10"/>
      <c r="NJR19" s="10"/>
      <c r="NJS19" s="10"/>
      <c r="NJT19" s="10"/>
      <c r="NJU19" s="10"/>
      <c r="NJV19" s="10"/>
      <c r="NJW19" s="10"/>
      <c r="NJX19" s="10"/>
      <c r="NJY19" s="10"/>
      <c r="NJZ19" s="10"/>
      <c r="NKA19" s="10"/>
      <c r="NKB19" s="10"/>
      <c r="NKC19" s="10"/>
      <c r="NKD19" s="10"/>
      <c r="NKE19" s="10"/>
      <c r="NKF19" s="10"/>
      <c r="NKG19" s="10"/>
      <c r="NKH19" s="10"/>
      <c r="NKI19" s="10"/>
      <c r="NKJ19" s="10"/>
      <c r="NKK19" s="10"/>
      <c r="NKL19" s="10"/>
      <c r="NKM19" s="10"/>
      <c r="NKN19" s="10"/>
      <c r="NKO19" s="10"/>
      <c r="NKP19" s="10"/>
      <c r="NKQ19" s="10"/>
      <c r="NKR19" s="10"/>
      <c r="NKS19" s="10"/>
      <c r="NKT19" s="10"/>
      <c r="NKU19" s="10"/>
      <c r="NKV19" s="10"/>
      <c r="NKW19" s="10"/>
      <c r="NKX19" s="10"/>
      <c r="NKY19" s="10"/>
      <c r="NKZ19" s="10"/>
      <c r="NLA19" s="10"/>
      <c r="NLB19" s="10"/>
      <c r="NLC19" s="10"/>
      <c r="NLD19" s="10"/>
      <c r="NLE19" s="10"/>
      <c r="NLF19" s="10"/>
      <c r="NLG19" s="10"/>
      <c r="NLH19" s="10"/>
      <c r="NLI19" s="10"/>
      <c r="NLJ19" s="10"/>
      <c r="NLK19" s="10"/>
      <c r="NLL19" s="10"/>
      <c r="NLM19" s="10"/>
      <c r="NLN19" s="10"/>
      <c r="NLO19" s="10"/>
      <c r="NLP19" s="10"/>
      <c r="NLQ19" s="10"/>
      <c r="NLR19" s="10"/>
      <c r="NLS19" s="10"/>
      <c r="NLT19" s="10"/>
      <c r="NLU19" s="10"/>
      <c r="NLV19" s="10"/>
      <c r="NLW19" s="10"/>
      <c r="NLX19" s="10"/>
      <c r="NLY19" s="10"/>
      <c r="NLZ19" s="10"/>
      <c r="NMA19" s="10"/>
      <c r="NMB19" s="10"/>
      <c r="NMC19" s="10"/>
      <c r="NMD19" s="10"/>
      <c r="NME19" s="10"/>
      <c r="NMF19" s="10"/>
      <c r="NMG19" s="10"/>
      <c r="NMH19" s="10"/>
      <c r="NMI19" s="10"/>
      <c r="NMJ19" s="10"/>
      <c r="NMK19" s="10"/>
      <c r="NML19" s="10"/>
      <c r="NMM19" s="10"/>
      <c r="NMN19" s="10"/>
      <c r="NMO19" s="10"/>
      <c r="NMP19" s="10"/>
      <c r="NMQ19" s="10"/>
      <c r="NMR19" s="10"/>
      <c r="NMS19" s="10"/>
      <c r="NMT19" s="10"/>
      <c r="NMU19" s="10"/>
      <c r="NMV19" s="10"/>
      <c r="NMW19" s="10"/>
      <c r="NMX19" s="10"/>
      <c r="NMY19" s="10"/>
      <c r="NMZ19" s="10"/>
      <c r="NNA19" s="10"/>
      <c r="NNB19" s="10"/>
      <c r="NNC19" s="10"/>
      <c r="NND19" s="10"/>
      <c r="NNE19" s="10"/>
      <c r="NNF19" s="10"/>
      <c r="NNG19" s="10"/>
      <c r="NNH19" s="10"/>
      <c r="NNI19" s="10"/>
      <c r="NNJ19" s="10"/>
      <c r="NNK19" s="10"/>
      <c r="NNL19" s="10"/>
      <c r="NNM19" s="10"/>
      <c r="NNN19" s="10"/>
      <c r="NNO19" s="10"/>
      <c r="NNP19" s="10"/>
      <c r="NNQ19" s="10"/>
      <c r="NNR19" s="10"/>
      <c r="NNS19" s="10"/>
      <c r="NNT19" s="10"/>
      <c r="NNU19" s="10"/>
      <c r="NNV19" s="10"/>
      <c r="NNW19" s="10"/>
      <c r="NNX19" s="10"/>
      <c r="NNY19" s="10"/>
      <c r="NNZ19" s="10"/>
      <c r="NOA19" s="10"/>
      <c r="NOB19" s="10"/>
      <c r="NOC19" s="10"/>
      <c r="NOD19" s="10"/>
      <c r="NOE19" s="10"/>
      <c r="NOF19" s="10"/>
      <c r="NOG19" s="10"/>
      <c r="NOH19" s="10"/>
      <c r="NOI19" s="10"/>
      <c r="NOJ19" s="10"/>
      <c r="NOK19" s="10"/>
      <c r="NOL19" s="10"/>
      <c r="NOM19" s="10"/>
      <c r="NON19" s="10"/>
      <c r="NOO19" s="10"/>
      <c r="NOP19" s="10"/>
      <c r="NOQ19" s="10"/>
      <c r="NOR19" s="10"/>
      <c r="NOS19" s="10"/>
      <c r="NOT19" s="10"/>
      <c r="NOU19" s="10"/>
      <c r="NOV19" s="10"/>
      <c r="NOW19" s="10"/>
      <c r="NOX19" s="10"/>
      <c r="NOY19" s="10"/>
      <c r="NOZ19" s="10"/>
      <c r="NPA19" s="10"/>
      <c r="NPB19" s="10"/>
      <c r="NPC19" s="10"/>
      <c r="NPD19" s="10"/>
      <c r="NPE19" s="10"/>
      <c r="NPF19" s="10"/>
      <c r="NPG19" s="10"/>
      <c r="NPH19" s="10"/>
      <c r="NPI19" s="10"/>
      <c r="NPJ19" s="10"/>
      <c r="NPK19" s="10"/>
      <c r="NPL19" s="10"/>
      <c r="NPM19" s="10"/>
      <c r="NPN19" s="10"/>
      <c r="NPO19" s="10"/>
      <c r="NPP19" s="10"/>
      <c r="NPQ19" s="10"/>
      <c r="NPR19" s="10"/>
      <c r="NPS19" s="10"/>
      <c r="NPT19" s="10"/>
      <c r="NPU19" s="10"/>
      <c r="NPV19" s="10"/>
      <c r="NPW19" s="10"/>
      <c r="NPX19" s="10"/>
      <c r="NPY19" s="10"/>
      <c r="NPZ19" s="10"/>
      <c r="NQA19" s="10"/>
      <c r="NQB19" s="10"/>
      <c r="NQC19" s="10"/>
      <c r="NQD19" s="10"/>
      <c r="NQE19" s="10"/>
      <c r="NQF19" s="10"/>
      <c r="NQG19" s="10"/>
      <c r="NQH19" s="10"/>
      <c r="NQI19" s="10"/>
      <c r="NQJ19" s="10"/>
      <c r="NQK19" s="10"/>
      <c r="NQL19" s="10"/>
      <c r="NQM19" s="10"/>
      <c r="NQN19" s="10"/>
      <c r="NQO19" s="10"/>
      <c r="NQP19" s="10"/>
      <c r="NQQ19" s="10"/>
      <c r="NQR19" s="10"/>
      <c r="NQS19" s="10"/>
      <c r="NQT19" s="10"/>
      <c r="NQU19" s="10"/>
      <c r="NQV19" s="10"/>
      <c r="NQW19" s="10"/>
      <c r="NQX19" s="10"/>
      <c r="NQY19" s="10"/>
      <c r="NQZ19" s="10"/>
      <c r="NRA19" s="10"/>
      <c r="NRB19" s="10"/>
      <c r="NRC19" s="10"/>
      <c r="NRD19" s="10"/>
      <c r="NRE19" s="10"/>
      <c r="NRF19" s="10"/>
      <c r="NRG19" s="10"/>
      <c r="NRH19" s="10"/>
      <c r="NRI19" s="10"/>
      <c r="NRJ19" s="10"/>
      <c r="NRK19" s="10"/>
      <c r="NRL19" s="10"/>
      <c r="NRM19" s="10"/>
      <c r="NRN19" s="10"/>
      <c r="NRO19" s="10"/>
      <c r="NRP19" s="10"/>
      <c r="NRQ19" s="10"/>
      <c r="NRR19" s="10"/>
      <c r="NRS19" s="10"/>
      <c r="NRT19" s="10"/>
      <c r="NRU19" s="10"/>
      <c r="NRV19" s="10"/>
      <c r="NRW19" s="10"/>
      <c r="NRX19" s="10"/>
      <c r="NRY19" s="10"/>
      <c r="NRZ19" s="10"/>
      <c r="NSA19" s="10"/>
      <c r="NSB19" s="10"/>
      <c r="NSC19" s="10"/>
      <c r="NSD19" s="10"/>
      <c r="NSE19" s="10"/>
      <c r="NSF19" s="10"/>
      <c r="NSG19" s="10"/>
      <c r="NSH19" s="10"/>
      <c r="NSI19" s="10"/>
      <c r="NSJ19" s="10"/>
      <c r="NSK19" s="10"/>
      <c r="NSL19" s="10"/>
      <c r="NSM19" s="10"/>
      <c r="NSN19" s="10"/>
      <c r="NSO19" s="10"/>
      <c r="NSP19" s="10"/>
      <c r="NSQ19" s="10"/>
      <c r="NSR19" s="10"/>
      <c r="NSS19" s="10"/>
      <c r="NST19" s="10"/>
      <c r="NSU19" s="10"/>
      <c r="NSV19" s="10"/>
      <c r="NSW19" s="10"/>
      <c r="NSX19" s="10"/>
      <c r="NSY19" s="10"/>
      <c r="NSZ19" s="10"/>
      <c r="NTA19" s="10"/>
      <c r="NTB19" s="10"/>
      <c r="NTC19" s="10"/>
      <c r="NTD19" s="10"/>
      <c r="NTE19" s="10"/>
      <c r="NTF19" s="10"/>
      <c r="NTG19" s="10"/>
      <c r="NTH19" s="10"/>
      <c r="NTI19" s="10"/>
      <c r="NTJ19" s="10"/>
      <c r="NTK19" s="10"/>
      <c r="NTL19" s="10"/>
      <c r="NTM19" s="10"/>
      <c r="NTN19" s="10"/>
      <c r="NTO19" s="10"/>
      <c r="NTP19" s="10"/>
      <c r="NTQ19" s="10"/>
      <c r="NTR19" s="10"/>
      <c r="NTS19" s="10"/>
      <c r="NTT19" s="10"/>
      <c r="NTU19" s="10"/>
      <c r="NTV19" s="10"/>
      <c r="NTW19" s="10"/>
      <c r="NTX19" s="10"/>
      <c r="NTY19" s="10"/>
      <c r="NTZ19" s="10"/>
      <c r="NUA19" s="10"/>
      <c r="NUB19" s="10"/>
      <c r="NUC19" s="10"/>
      <c r="NUD19" s="10"/>
      <c r="NUE19" s="10"/>
      <c r="NUF19" s="10"/>
      <c r="NUG19" s="10"/>
      <c r="NUH19" s="10"/>
      <c r="NUI19" s="10"/>
      <c r="NUJ19" s="10"/>
      <c r="NUK19" s="10"/>
      <c r="NUL19" s="10"/>
      <c r="NUM19" s="10"/>
      <c r="NUN19" s="10"/>
      <c r="NUO19" s="10"/>
      <c r="NUP19" s="10"/>
      <c r="NUQ19" s="10"/>
      <c r="NUR19" s="10"/>
      <c r="NUS19" s="10"/>
      <c r="NUT19" s="10"/>
      <c r="NUU19" s="10"/>
      <c r="NUV19" s="10"/>
      <c r="NUW19" s="10"/>
      <c r="NUX19" s="10"/>
      <c r="NUY19" s="10"/>
      <c r="NUZ19" s="10"/>
      <c r="NVA19" s="10"/>
      <c r="NVB19" s="10"/>
      <c r="NVC19" s="10"/>
      <c r="NVD19" s="10"/>
      <c r="NVE19" s="10"/>
      <c r="NVF19" s="10"/>
      <c r="NVG19" s="10"/>
      <c r="NVH19" s="10"/>
      <c r="NVI19" s="10"/>
      <c r="NVJ19" s="10"/>
      <c r="NVK19" s="10"/>
      <c r="NVL19" s="10"/>
      <c r="NVM19" s="10"/>
      <c r="NVN19" s="10"/>
      <c r="NVO19" s="10"/>
      <c r="NVP19" s="10"/>
      <c r="NVQ19" s="10"/>
      <c r="NVR19" s="10"/>
      <c r="NVS19" s="10"/>
      <c r="NVT19" s="10"/>
      <c r="NVU19" s="10"/>
      <c r="NVV19" s="10"/>
      <c r="NVW19" s="10"/>
      <c r="NVX19" s="10"/>
      <c r="NVY19" s="10"/>
      <c r="NVZ19" s="10"/>
      <c r="NWA19" s="10"/>
      <c r="NWB19" s="10"/>
      <c r="NWC19" s="10"/>
      <c r="NWD19" s="10"/>
      <c r="NWE19" s="10"/>
      <c r="NWF19" s="10"/>
      <c r="NWG19" s="10"/>
      <c r="NWH19" s="10"/>
      <c r="NWI19" s="10"/>
      <c r="NWJ19" s="10"/>
      <c r="NWK19" s="10"/>
      <c r="NWL19" s="10"/>
      <c r="NWM19" s="10"/>
      <c r="NWN19" s="10"/>
      <c r="NWO19" s="10"/>
      <c r="NWP19" s="10"/>
      <c r="NWQ19" s="10"/>
      <c r="NWR19" s="10"/>
      <c r="NWS19" s="10"/>
      <c r="NWT19" s="10"/>
      <c r="NWU19" s="10"/>
      <c r="NWV19" s="10"/>
      <c r="NWW19" s="10"/>
      <c r="NWX19" s="10"/>
      <c r="NWY19" s="10"/>
      <c r="NWZ19" s="10"/>
      <c r="NXA19" s="10"/>
      <c r="NXB19" s="10"/>
      <c r="NXC19" s="10"/>
      <c r="NXD19" s="10"/>
      <c r="NXE19" s="10"/>
      <c r="NXF19" s="10"/>
      <c r="NXG19" s="10"/>
      <c r="NXH19" s="10"/>
      <c r="NXI19" s="10"/>
      <c r="NXJ19" s="10"/>
      <c r="NXK19" s="10"/>
      <c r="NXL19" s="10"/>
      <c r="NXM19" s="10"/>
      <c r="NXN19" s="10"/>
      <c r="NXO19" s="10"/>
      <c r="NXP19" s="10"/>
      <c r="NXQ19" s="10"/>
      <c r="NXR19" s="10"/>
      <c r="NXS19" s="10"/>
      <c r="NXT19" s="10"/>
      <c r="NXU19" s="10"/>
      <c r="NXV19" s="10"/>
      <c r="NXW19" s="10"/>
      <c r="NXX19" s="10"/>
      <c r="NXY19" s="10"/>
      <c r="NXZ19" s="10"/>
      <c r="NYA19" s="10"/>
      <c r="NYB19" s="10"/>
      <c r="NYC19" s="10"/>
      <c r="NYD19" s="10"/>
      <c r="NYE19" s="10"/>
      <c r="NYF19" s="10"/>
      <c r="NYG19" s="10"/>
      <c r="NYH19" s="10"/>
      <c r="NYI19" s="10"/>
      <c r="NYJ19" s="10"/>
      <c r="NYK19" s="10"/>
      <c r="NYL19" s="10"/>
      <c r="NYM19" s="10"/>
      <c r="NYN19" s="10"/>
      <c r="NYO19" s="10"/>
      <c r="NYP19" s="10"/>
      <c r="NYQ19" s="10"/>
      <c r="NYR19" s="10"/>
      <c r="NYS19" s="10"/>
      <c r="NYT19" s="10"/>
      <c r="NYU19" s="10"/>
      <c r="NYV19" s="10"/>
      <c r="NYW19" s="10"/>
      <c r="NYX19" s="10"/>
      <c r="NYY19" s="10"/>
      <c r="NYZ19" s="10"/>
      <c r="NZA19" s="10"/>
      <c r="NZB19" s="10"/>
      <c r="NZC19" s="10"/>
      <c r="NZD19" s="10"/>
      <c r="NZE19" s="10"/>
      <c r="NZF19" s="10"/>
      <c r="NZG19" s="10"/>
      <c r="NZH19" s="10"/>
      <c r="NZI19" s="10"/>
      <c r="NZJ19" s="10"/>
      <c r="NZK19" s="10"/>
      <c r="NZL19" s="10"/>
      <c r="NZM19" s="10"/>
      <c r="NZN19" s="10"/>
      <c r="NZO19" s="10"/>
      <c r="NZP19" s="10"/>
      <c r="NZQ19" s="10"/>
      <c r="NZR19" s="10"/>
      <c r="NZS19" s="10"/>
      <c r="NZT19" s="10"/>
      <c r="NZU19" s="10"/>
      <c r="NZV19" s="10"/>
      <c r="NZW19" s="10"/>
      <c r="NZX19" s="10"/>
      <c r="NZY19" s="10"/>
      <c r="NZZ19" s="10"/>
      <c r="OAA19" s="10"/>
      <c r="OAB19" s="10"/>
      <c r="OAC19" s="10"/>
      <c r="OAD19" s="10"/>
      <c r="OAE19" s="10"/>
      <c r="OAF19" s="10"/>
      <c r="OAG19" s="10"/>
      <c r="OAH19" s="10"/>
      <c r="OAI19" s="10"/>
      <c r="OAJ19" s="10"/>
      <c r="OAK19" s="10"/>
      <c r="OAL19" s="10"/>
      <c r="OAM19" s="10"/>
      <c r="OAN19" s="10"/>
      <c r="OAO19" s="10"/>
      <c r="OAP19" s="10"/>
      <c r="OAQ19" s="10"/>
      <c r="OAR19" s="10"/>
      <c r="OAS19" s="10"/>
      <c r="OAT19" s="10"/>
      <c r="OAU19" s="10"/>
      <c r="OAV19" s="10"/>
      <c r="OAW19" s="10"/>
      <c r="OAX19" s="10"/>
      <c r="OAY19" s="10"/>
      <c r="OAZ19" s="10"/>
      <c r="OBA19" s="10"/>
      <c r="OBB19" s="10"/>
      <c r="OBC19" s="10"/>
      <c r="OBD19" s="10"/>
      <c r="OBE19" s="10"/>
      <c r="OBF19" s="10"/>
      <c r="OBG19" s="10"/>
      <c r="OBH19" s="10"/>
      <c r="OBI19" s="10"/>
      <c r="OBJ19" s="10"/>
      <c r="OBK19" s="10"/>
      <c r="OBL19" s="10"/>
      <c r="OBM19" s="10"/>
      <c r="OBN19" s="10"/>
      <c r="OBO19" s="10"/>
      <c r="OBP19" s="10"/>
      <c r="OBQ19" s="10"/>
      <c r="OBR19" s="10"/>
      <c r="OBS19" s="10"/>
      <c r="OBT19" s="10"/>
      <c r="OBU19" s="10"/>
      <c r="OBV19" s="10"/>
      <c r="OBW19" s="10"/>
      <c r="OBX19" s="10"/>
      <c r="OBY19" s="10"/>
      <c r="OBZ19" s="10"/>
      <c r="OCA19" s="10"/>
      <c r="OCB19" s="10"/>
      <c r="OCC19" s="10"/>
      <c r="OCD19" s="10"/>
      <c r="OCE19" s="10"/>
      <c r="OCF19" s="10"/>
      <c r="OCG19" s="10"/>
      <c r="OCH19" s="10"/>
      <c r="OCI19" s="10"/>
      <c r="OCJ19" s="10"/>
      <c r="OCK19" s="10"/>
      <c r="OCL19" s="10"/>
      <c r="OCM19" s="10"/>
      <c r="OCN19" s="10"/>
      <c r="OCO19" s="10"/>
      <c r="OCP19" s="10"/>
      <c r="OCQ19" s="10"/>
      <c r="OCR19" s="10"/>
      <c r="OCS19" s="10"/>
      <c r="OCT19" s="10"/>
      <c r="OCU19" s="10"/>
      <c r="OCV19" s="10"/>
      <c r="OCW19" s="10"/>
      <c r="OCX19" s="10"/>
      <c r="OCY19" s="10"/>
      <c r="OCZ19" s="10"/>
      <c r="ODA19" s="10"/>
      <c r="ODB19" s="10"/>
      <c r="ODC19" s="10"/>
      <c r="ODD19" s="10"/>
      <c r="ODE19" s="10"/>
      <c r="ODF19" s="10"/>
      <c r="ODG19" s="10"/>
      <c r="ODH19" s="10"/>
      <c r="ODI19" s="10"/>
      <c r="ODJ19" s="10"/>
      <c r="ODK19" s="10"/>
      <c r="ODL19" s="10"/>
      <c r="ODM19" s="10"/>
      <c r="ODN19" s="10"/>
      <c r="ODO19" s="10"/>
      <c r="ODP19" s="10"/>
      <c r="ODQ19" s="10"/>
      <c r="ODR19" s="10"/>
      <c r="ODS19" s="10"/>
      <c r="ODT19" s="10"/>
      <c r="ODU19" s="10"/>
      <c r="ODV19" s="10"/>
      <c r="ODW19" s="10"/>
      <c r="ODX19" s="10"/>
      <c r="ODY19" s="10"/>
      <c r="ODZ19" s="10"/>
      <c r="OEA19" s="10"/>
      <c r="OEB19" s="10"/>
      <c r="OEC19" s="10"/>
      <c r="OED19" s="10"/>
      <c r="OEE19" s="10"/>
      <c r="OEF19" s="10"/>
      <c r="OEG19" s="10"/>
      <c r="OEH19" s="10"/>
      <c r="OEI19" s="10"/>
      <c r="OEJ19" s="10"/>
      <c r="OEK19" s="10"/>
      <c r="OEL19" s="10"/>
      <c r="OEM19" s="10"/>
      <c r="OEN19" s="10"/>
      <c r="OEO19" s="10"/>
      <c r="OEP19" s="10"/>
      <c r="OEQ19" s="10"/>
      <c r="OER19" s="10"/>
      <c r="OES19" s="10"/>
      <c r="OET19" s="10"/>
      <c r="OEU19" s="10"/>
      <c r="OEV19" s="10"/>
      <c r="OEW19" s="10"/>
      <c r="OEX19" s="10"/>
      <c r="OEY19" s="10"/>
      <c r="OEZ19" s="10"/>
      <c r="OFA19" s="10"/>
      <c r="OFB19" s="10"/>
      <c r="OFC19" s="10"/>
      <c r="OFD19" s="10"/>
      <c r="OFE19" s="10"/>
      <c r="OFF19" s="10"/>
      <c r="OFG19" s="10"/>
      <c r="OFH19" s="10"/>
      <c r="OFI19" s="10"/>
      <c r="OFJ19" s="10"/>
      <c r="OFK19" s="10"/>
      <c r="OFL19" s="10"/>
      <c r="OFM19" s="10"/>
      <c r="OFN19" s="10"/>
      <c r="OFO19" s="10"/>
      <c r="OFP19" s="10"/>
      <c r="OFQ19" s="10"/>
      <c r="OFR19" s="10"/>
      <c r="OFS19" s="10"/>
      <c r="OFT19" s="10"/>
      <c r="OFU19" s="10"/>
      <c r="OFV19" s="10"/>
      <c r="OFW19" s="10"/>
      <c r="OFX19" s="10"/>
      <c r="OFY19" s="10"/>
      <c r="OFZ19" s="10"/>
      <c r="OGA19" s="10"/>
      <c r="OGB19" s="10"/>
      <c r="OGC19" s="10"/>
      <c r="OGD19" s="10"/>
      <c r="OGE19" s="10"/>
      <c r="OGF19" s="10"/>
      <c r="OGG19" s="10"/>
      <c r="OGH19" s="10"/>
      <c r="OGI19" s="10"/>
      <c r="OGJ19" s="10"/>
      <c r="OGK19" s="10"/>
      <c r="OGL19" s="10"/>
      <c r="OGM19" s="10"/>
      <c r="OGN19" s="10"/>
      <c r="OGO19" s="10"/>
      <c r="OGP19" s="10"/>
      <c r="OGQ19" s="10"/>
      <c r="OGR19" s="10"/>
      <c r="OGS19" s="10"/>
      <c r="OGT19" s="10"/>
      <c r="OGU19" s="10"/>
      <c r="OGV19" s="10"/>
      <c r="OGW19" s="10"/>
      <c r="OGX19" s="10"/>
      <c r="OGY19" s="10"/>
      <c r="OGZ19" s="10"/>
      <c r="OHA19" s="10"/>
      <c r="OHB19" s="10"/>
      <c r="OHC19" s="10"/>
      <c r="OHD19" s="10"/>
      <c r="OHE19" s="10"/>
      <c r="OHF19" s="10"/>
      <c r="OHG19" s="10"/>
      <c r="OHH19" s="10"/>
      <c r="OHI19" s="10"/>
      <c r="OHJ19" s="10"/>
      <c r="OHK19" s="10"/>
      <c r="OHL19" s="10"/>
      <c r="OHM19" s="10"/>
      <c r="OHN19" s="10"/>
      <c r="OHO19" s="10"/>
      <c r="OHP19" s="10"/>
      <c r="OHQ19" s="10"/>
      <c r="OHR19" s="10"/>
      <c r="OHS19" s="10"/>
      <c r="OHT19" s="10"/>
      <c r="OHU19" s="10"/>
      <c r="OHV19" s="10"/>
      <c r="OHW19" s="10"/>
      <c r="OHX19" s="10"/>
      <c r="OHY19" s="10"/>
      <c r="OHZ19" s="10"/>
      <c r="OIA19" s="10"/>
      <c r="OIB19" s="10"/>
      <c r="OIC19" s="10"/>
      <c r="OID19" s="10"/>
      <c r="OIE19" s="10"/>
      <c r="OIF19" s="10"/>
      <c r="OIG19" s="10"/>
      <c r="OIH19" s="10"/>
      <c r="OII19" s="10"/>
      <c r="OIJ19" s="10"/>
      <c r="OIK19" s="10"/>
      <c r="OIL19" s="10"/>
      <c r="OIM19" s="10"/>
      <c r="OIN19" s="10"/>
      <c r="OIO19" s="10"/>
      <c r="OIP19" s="10"/>
      <c r="OIQ19" s="10"/>
      <c r="OIR19" s="10"/>
      <c r="OIS19" s="10"/>
      <c r="OIT19" s="10"/>
      <c r="OIU19" s="10"/>
      <c r="OIV19" s="10"/>
      <c r="OIW19" s="10"/>
      <c r="OIX19" s="10"/>
      <c r="OIY19" s="10"/>
      <c r="OIZ19" s="10"/>
      <c r="OJA19" s="10"/>
      <c r="OJB19" s="10"/>
      <c r="OJC19" s="10"/>
      <c r="OJD19" s="10"/>
      <c r="OJE19" s="10"/>
      <c r="OJF19" s="10"/>
      <c r="OJG19" s="10"/>
      <c r="OJH19" s="10"/>
      <c r="OJI19" s="10"/>
      <c r="OJJ19" s="10"/>
      <c r="OJK19" s="10"/>
      <c r="OJL19" s="10"/>
      <c r="OJM19" s="10"/>
      <c r="OJN19" s="10"/>
      <c r="OJO19" s="10"/>
      <c r="OJP19" s="10"/>
      <c r="OJQ19" s="10"/>
      <c r="OJR19" s="10"/>
      <c r="OJS19" s="10"/>
      <c r="OJT19" s="10"/>
      <c r="OJU19" s="10"/>
      <c r="OJV19" s="10"/>
      <c r="OJW19" s="10"/>
      <c r="OJX19" s="10"/>
      <c r="OJY19" s="10"/>
      <c r="OJZ19" s="10"/>
      <c r="OKA19" s="10"/>
      <c r="OKB19" s="10"/>
      <c r="OKC19" s="10"/>
      <c r="OKD19" s="10"/>
      <c r="OKE19" s="10"/>
      <c r="OKF19" s="10"/>
      <c r="OKG19" s="10"/>
      <c r="OKH19" s="10"/>
      <c r="OKI19" s="10"/>
      <c r="OKJ19" s="10"/>
      <c r="OKK19" s="10"/>
      <c r="OKL19" s="10"/>
      <c r="OKM19" s="10"/>
      <c r="OKN19" s="10"/>
      <c r="OKO19" s="10"/>
      <c r="OKP19" s="10"/>
      <c r="OKQ19" s="10"/>
      <c r="OKR19" s="10"/>
      <c r="OKS19" s="10"/>
      <c r="OKT19" s="10"/>
      <c r="OKU19" s="10"/>
      <c r="OKV19" s="10"/>
      <c r="OKW19" s="10"/>
      <c r="OKX19" s="10"/>
      <c r="OKY19" s="10"/>
      <c r="OKZ19" s="10"/>
      <c r="OLA19" s="10"/>
      <c r="OLB19" s="10"/>
      <c r="OLC19" s="10"/>
      <c r="OLD19" s="10"/>
      <c r="OLE19" s="10"/>
      <c r="OLF19" s="10"/>
      <c r="OLG19" s="10"/>
      <c r="OLH19" s="10"/>
      <c r="OLI19" s="10"/>
      <c r="OLJ19" s="10"/>
      <c r="OLK19" s="10"/>
      <c r="OLL19" s="10"/>
      <c r="OLM19" s="10"/>
      <c r="OLN19" s="10"/>
      <c r="OLO19" s="10"/>
      <c r="OLP19" s="10"/>
      <c r="OLQ19" s="10"/>
      <c r="OLR19" s="10"/>
      <c r="OLS19" s="10"/>
      <c r="OLT19" s="10"/>
      <c r="OLU19" s="10"/>
      <c r="OLV19" s="10"/>
      <c r="OLW19" s="10"/>
      <c r="OLX19" s="10"/>
      <c r="OLY19" s="10"/>
      <c r="OLZ19" s="10"/>
      <c r="OMA19" s="10"/>
      <c r="OMB19" s="10"/>
      <c r="OMC19" s="10"/>
      <c r="OMD19" s="10"/>
      <c r="OME19" s="10"/>
      <c r="OMF19" s="10"/>
      <c r="OMG19" s="10"/>
      <c r="OMH19" s="10"/>
      <c r="OMI19" s="10"/>
      <c r="OMJ19" s="10"/>
      <c r="OMK19" s="10"/>
      <c r="OML19" s="10"/>
      <c r="OMM19" s="10"/>
      <c r="OMN19" s="10"/>
      <c r="OMO19" s="10"/>
      <c r="OMP19" s="10"/>
      <c r="OMQ19" s="10"/>
      <c r="OMR19" s="10"/>
      <c r="OMS19" s="10"/>
      <c r="OMT19" s="10"/>
      <c r="OMU19" s="10"/>
      <c r="OMV19" s="10"/>
      <c r="OMW19" s="10"/>
      <c r="OMX19" s="10"/>
      <c r="OMY19" s="10"/>
      <c r="OMZ19" s="10"/>
      <c r="ONA19" s="10"/>
      <c r="ONB19" s="10"/>
      <c r="ONC19" s="10"/>
      <c r="OND19" s="10"/>
      <c r="ONE19" s="10"/>
      <c r="ONF19" s="10"/>
      <c r="ONG19" s="10"/>
      <c r="ONH19" s="10"/>
      <c r="ONI19" s="10"/>
      <c r="ONJ19" s="10"/>
      <c r="ONK19" s="10"/>
      <c r="ONL19" s="10"/>
      <c r="ONM19" s="10"/>
      <c r="ONN19" s="10"/>
      <c r="ONO19" s="10"/>
      <c r="ONP19" s="10"/>
      <c r="ONQ19" s="10"/>
      <c r="ONR19" s="10"/>
      <c r="ONS19" s="10"/>
      <c r="ONT19" s="10"/>
      <c r="ONU19" s="10"/>
      <c r="ONV19" s="10"/>
      <c r="ONW19" s="10"/>
      <c r="ONX19" s="10"/>
      <c r="ONY19" s="10"/>
      <c r="ONZ19" s="10"/>
      <c r="OOA19" s="10"/>
      <c r="OOB19" s="10"/>
      <c r="OOC19" s="10"/>
      <c r="OOD19" s="10"/>
      <c r="OOE19" s="10"/>
      <c r="OOF19" s="10"/>
      <c r="OOG19" s="10"/>
      <c r="OOH19" s="10"/>
      <c r="OOI19" s="10"/>
      <c r="OOJ19" s="10"/>
      <c r="OOK19" s="10"/>
      <c r="OOL19" s="10"/>
      <c r="OOM19" s="10"/>
      <c r="OON19" s="10"/>
      <c r="OOO19" s="10"/>
      <c r="OOP19" s="10"/>
      <c r="OOQ19" s="10"/>
      <c r="OOR19" s="10"/>
      <c r="OOS19" s="10"/>
      <c r="OOT19" s="10"/>
      <c r="OOU19" s="10"/>
      <c r="OOV19" s="10"/>
      <c r="OOW19" s="10"/>
      <c r="OOX19" s="10"/>
      <c r="OOY19" s="10"/>
      <c r="OOZ19" s="10"/>
      <c r="OPA19" s="10"/>
      <c r="OPB19" s="10"/>
      <c r="OPC19" s="10"/>
      <c r="OPD19" s="10"/>
      <c r="OPE19" s="10"/>
      <c r="OPF19" s="10"/>
      <c r="OPG19" s="10"/>
      <c r="OPH19" s="10"/>
      <c r="OPI19" s="10"/>
      <c r="OPJ19" s="10"/>
      <c r="OPK19" s="10"/>
      <c r="OPL19" s="10"/>
      <c r="OPM19" s="10"/>
      <c r="OPN19" s="10"/>
      <c r="OPO19" s="10"/>
      <c r="OPP19" s="10"/>
      <c r="OPQ19" s="10"/>
      <c r="OPR19" s="10"/>
      <c r="OPS19" s="10"/>
      <c r="OPT19" s="10"/>
      <c r="OPU19" s="10"/>
      <c r="OPV19" s="10"/>
      <c r="OPW19" s="10"/>
      <c r="OPX19" s="10"/>
      <c r="OPY19" s="10"/>
      <c r="OPZ19" s="10"/>
      <c r="OQA19" s="10"/>
      <c r="OQB19" s="10"/>
      <c r="OQC19" s="10"/>
      <c r="OQD19" s="10"/>
      <c r="OQE19" s="10"/>
      <c r="OQF19" s="10"/>
      <c r="OQG19" s="10"/>
      <c r="OQH19" s="10"/>
      <c r="OQI19" s="10"/>
      <c r="OQJ19" s="10"/>
      <c r="OQK19" s="10"/>
      <c r="OQL19" s="10"/>
      <c r="OQM19" s="10"/>
      <c r="OQN19" s="10"/>
      <c r="OQO19" s="10"/>
      <c r="OQP19" s="10"/>
      <c r="OQQ19" s="10"/>
      <c r="OQR19" s="10"/>
      <c r="OQS19" s="10"/>
      <c r="OQT19" s="10"/>
      <c r="OQU19" s="10"/>
      <c r="OQV19" s="10"/>
      <c r="OQW19" s="10"/>
      <c r="OQX19" s="10"/>
      <c r="OQY19" s="10"/>
      <c r="OQZ19" s="10"/>
      <c r="ORA19" s="10"/>
      <c r="ORB19" s="10"/>
      <c r="ORC19" s="10"/>
      <c r="ORD19" s="10"/>
      <c r="ORE19" s="10"/>
      <c r="ORF19" s="10"/>
      <c r="ORG19" s="10"/>
      <c r="ORH19" s="10"/>
      <c r="ORI19" s="10"/>
      <c r="ORJ19" s="10"/>
      <c r="ORK19" s="10"/>
      <c r="ORL19" s="10"/>
      <c r="ORM19" s="10"/>
      <c r="ORN19" s="10"/>
      <c r="ORO19" s="10"/>
      <c r="ORP19" s="10"/>
      <c r="ORQ19" s="10"/>
      <c r="ORR19" s="10"/>
      <c r="ORS19" s="10"/>
      <c r="ORT19" s="10"/>
      <c r="ORU19" s="10"/>
      <c r="ORV19" s="10"/>
      <c r="ORW19" s="10"/>
      <c r="ORX19" s="10"/>
      <c r="ORY19" s="10"/>
      <c r="ORZ19" s="10"/>
      <c r="OSA19" s="10"/>
      <c r="OSB19" s="10"/>
      <c r="OSC19" s="10"/>
      <c r="OSD19" s="10"/>
      <c r="OSE19" s="10"/>
      <c r="OSF19" s="10"/>
      <c r="OSG19" s="10"/>
      <c r="OSH19" s="10"/>
      <c r="OSI19" s="10"/>
      <c r="OSJ19" s="10"/>
      <c r="OSK19" s="10"/>
      <c r="OSL19" s="10"/>
      <c r="OSM19" s="10"/>
      <c r="OSN19" s="10"/>
      <c r="OSO19" s="10"/>
      <c r="OSP19" s="10"/>
      <c r="OSQ19" s="10"/>
      <c r="OSR19" s="10"/>
      <c r="OSS19" s="10"/>
      <c r="OST19" s="10"/>
      <c r="OSU19" s="10"/>
      <c r="OSV19" s="10"/>
      <c r="OSW19" s="10"/>
      <c r="OSX19" s="10"/>
      <c r="OSY19" s="10"/>
      <c r="OSZ19" s="10"/>
      <c r="OTA19" s="10"/>
      <c r="OTB19" s="10"/>
      <c r="OTC19" s="10"/>
      <c r="OTD19" s="10"/>
      <c r="OTE19" s="10"/>
      <c r="OTF19" s="10"/>
      <c r="OTG19" s="10"/>
      <c r="OTH19" s="10"/>
      <c r="OTI19" s="10"/>
      <c r="OTJ19" s="10"/>
      <c r="OTK19" s="10"/>
      <c r="OTL19" s="10"/>
      <c r="OTM19" s="10"/>
      <c r="OTN19" s="10"/>
      <c r="OTO19" s="10"/>
      <c r="OTP19" s="10"/>
      <c r="OTQ19" s="10"/>
      <c r="OTR19" s="10"/>
      <c r="OTS19" s="10"/>
      <c r="OTT19" s="10"/>
      <c r="OTU19" s="10"/>
      <c r="OTV19" s="10"/>
      <c r="OTW19" s="10"/>
      <c r="OTX19" s="10"/>
      <c r="OTY19" s="10"/>
      <c r="OTZ19" s="10"/>
      <c r="OUA19" s="10"/>
      <c r="OUB19" s="10"/>
      <c r="OUC19" s="10"/>
      <c r="OUD19" s="10"/>
      <c r="OUE19" s="10"/>
      <c r="OUF19" s="10"/>
      <c r="OUG19" s="10"/>
      <c r="OUH19" s="10"/>
      <c r="OUI19" s="10"/>
      <c r="OUJ19" s="10"/>
      <c r="OUK19" s="10"/>
      <c r="OUL19" s="10"/>
      <c r="OUM19" s="10"/>
      <c r="OUN19" s="10"/>
      <c r="OUO19" s="10"/>
      <c r="OUP19" s="10"/>
      <c r="OUQ19" s="10"/>
      <c r="OUR19" s="10"/>
      <c r="OUS19" s="10"/>
      <c r="OUT19" s="10"/>
      <c r="OUU19" s="10"/>
      <c r="OUV19" s="10"/>
      <c r="OUW19" s="10"/>
      <c r="OUX19" s="10"/>
      <c r="OUY19" s="10"/>
      <c r="OUZ19" s="10"/>
      <c r="OVA19" s="10"/>
      <c r="OVB19" s="10"/>
      <c r="OVC19" s="10"/>
      <c r="OVD19" s="10"/>
      <c r="OVE19" s="10"/>
      <c r="OVF19" s="10"/>
      <c r="OVG19" s="10"/>
      <c r="OVH19" s="10"/>
      <c r="OVI19" s="10"/>
      <c r="OVJ19" s="10"/>
      <c r="OVK19" s="10"/>
      <c r="OVL19" s="10"/>
      <c r="OVM19" s="10"/>
      <c r="OVN19" s="10"/>
      <c r="OVO19" s="10"/>
      <c r="OVP19" s="10"/>
      <c r="OVQ19" s="10"/>
      <c r="OVR19" s="10"/>
      <c r="OVS19" s="10"/>
      <c r="OVT19" s="10"/>
      <c r="OVU19" s="10"/>
      <c r="OVV19" s="10"/>
      <c r="OVW19" s="10"/>
      <c r="OVX19" s="10"/>
      <c r="OVY19" s="10"/>
      <c r="OVZ19" s="10"/>
      <c r="OWA19" s="10"/>
      <c r="OWB19" s="10"/>
      <c r="OWC19" s="10"/>
      <c r="OWD19" s="10"/>
      <c r="OWE19" s="10"/>
      <c r="OWF19" s="10"/>
      <c r="OWG19" s="10"/>
      <c r="OWH19" s="10"/>
      <c r="OWI19" s="10"/>
      <c r="OWJ19" s="10"/>
      <c r="OWK19" s="10"/>
      <c r="OWL19" s="10"/>
      <c r="OWM19" s="10"/>
      <c r="OWN19" s="10"/>
      <c r="OWO19" s="10"/>
      <c r="OWP19" s="10"/>
      <c r="OWQ19" s="10"/>
      <c r="OWR19" s="10"/>
      <c r="OWS19" s="10"/>
      <c r="OWT19" s="10"/>
      <c r="OWU19" s="10"/>
      <c r="OWV19" s="10"/>
      <c r="OWW19" s="10"/>
      <c r="OWX19" s="10"/>
      <c r="OWY19" s="10"/>
      <c r="OWZ19" s="10"/>
      <c r="OXA19" s="10"/>
      <c r="OXB19" s="10"/>
      <c r="OXC19" s="10"/>
      <c r="OXD19" s="10"/>
      <c r="OXE19" s="10"/>
      <c r="OXF19" s="10"/>
      <c r="OXG19" s="10"/>
      <c r="OXH19" s="10"/>
      <c r="OXI19" s="10"/>
      <c r="OXJ19" s="10"/>
      <c r="OXK19" s="10"/>
      <c r="OXL19" s="10"/>
      <c r="OXM19" s="10"/>
      <c r="OXN19" s="10"/>
      <c r="OXO19" s="10"/>
      <c r="OXP19" s="10"/>
      <c r="OXQ19" s="10"/>
      <c r="OXR19" s="10"/>
      <c r="OXS19" s="10"/>
      <c r="OXT19" s="10"/>
      <c r="OXU19" s="10"/>
      <c r="OXV19" s="10"/>
      <c r="OXW19" s="10"/>
      <c r="OXX19" s="10"/>
      <c r="OXY19" s="10"/>
      <c r="OXZ19" s="10"/>
      <c r="OYA19" s="10"/>
      <c r="OYB19" s="10"/>
      <c r="OYC19" s="10"/>
      <c r="OYD19" s="10"/>
      <c r="OYE19" s="10"/>
      <c r="OYF19" s="10"/>
      <c r="OYG19" s="10"/>
      <c r="OYH19" s="10"/>
      <c r="OYI19" s="10"/>
      <c r="OYJ19" s="10"/>
      <c r="OYK19" s="10"/>
      <c r="OYL19" s="10"/>
      <c r="OYM19" s="10"/>
      <c r="OYN19" s="10"/>
      <c r="OYO19" s="10"/>
      <c r="OYP19" s="10"/>
      <c r="OYQ19" s="10"/>
      <c r="OYR19" s="10"/>
      <c r="OYS19" s="10"/>
      <c r="OYT19" s="10"/>
      <c r="OYU19" s="10"/>
      <c r="OYV19" s="10"/>
      <c r="OYW19" s="10"/>
      <c r="OYX19" s="10"/>
      <c r="OYY19" s="10"/>
      <c r="OYZ19" s="10"/>
      <c r="OZA19" s="10"/>
      <c r="OZB19" s="10"/>
      <c r="OZC19" s="10"/>
      <c r="OZD19" s="10"/>
      <c r="OZE19" s="10"/>
      <c r="OZF19" s="10"/>
      <c r="OZG19" s="10"/>
      <c r="OZH19" s="10"/>
      <c r="OZI19" s="10"/>
      <c r="OZJ19" s="10"/>
      <c r="OZK19" s="10"/>
      <c r="OZL19" s="10"/>
      <c r="OZM19" s="10"/>
      <c r="OZN19" s="10"/>
      <c r="OZO19" s="10"/>
      <c r="OZP19" s="10"/>
      <c r="OZQ19" s="10"/>
      <c r="OZR19" s="10"/>
      <c r="OZS19" s="10"/>
      <c r="OZT19" s="10"/>
      <c r="OZU19" s="10"/>
      <c r="OZV19" s="10"/>
      <c r="OZW19" s="10"/>
      <c r="OZX19" s="10"/>
      <c r="OZY19" s="10"/>
      <c r="OZZ19" s="10"/>
      <c r="PAA19" s="10"/>
      <c r="PAB19" s="10"/>
      <c r="PAC19" s="10"/>
      <c r="PAD19" s="10"/>
      <c r="PAE19" s="10"/>
      <c r="PAF19" s="10"/>
      <c r="PAG19" s="10"/>
      <c r="PAH19" s="10"/>
      <c r="PAI19" s="10"/>
      <c r="PAJ19" s="10"/>
      <c r="PAK19" s="10"/>
      <c r="PAL19" s="10"/>
      <c r="PAM19" s="10"/>
      <c r="PAN19" s="10"/>
      <c r="PAO19" s="10"/>
      <c r="PAP19" s="10"/>
      <c r="PAQ19" s="10"/>
      <c r="PAR19" s="10"/>
      <c r="PAS19" s="10"/>
      <c r="PAT19" s="10"/>
      <c r="PAU19" s="10"/>
      <c r="PAV19" s="10"/>
      <c r="PAW19" s="10"/>
      <c r="PAX19" s="10"/>
      <c r="PAY19" s="10"/>
      <c r="PAZ19" s="10"/>
      <c r="PBA19" s="10"/>
      <c r="PBB19" s="10"/>
      <c r="PBC19" s="10"/>
      <c r="PBD19" s="10"/>
      <c r="PBE19" s="10"/>
      <c r="PBF19" s="10"/>
      <c r="PBG19" s="10"/>
      <c r="PBH19" s="10"/>
      <c r="PBI19" s="10"/>
      <c r="PBJ19" s="10"/>
      <c r="PBK19" s="10"/>
      <c r="PBL19" s="10"/>
      <c r="PBM19" s="10"/>
      <c r="PBN19" s="10"/>
      <c r="PBO19" s="10"/>
      <c r="PBP19" s="10"/>
      <c r="PBQ19" s="10"/>
      <c r="PBR19" s="10"/>
      <c r="PBS19" s="10"/>
      <c r="PBT19" s="10"/>
      <c r="PBU19" s="10"/>
      <c r="PBV19" s="10"/>
      <c r="PBW19" s="10"/>
      <c r="PBX19" s="10"/>
      <c r="PBY19" s="10"/>
      <c r="PBZ19" s="10"/>
      <c r="PCA19" s="10"/>
      <c r="PCB19" s="10"/>
      <c r="PCC19" s="10"/>
      <c r="PCD19" s="10"/>
      <c r="PCE19" s="10"/>
      <c r="PCF19" s="10"/>
      <c r="PCG19" s="10"/>
      <c r="PCH19" s="10"/>
      <c r="PCI19" s="10"/>
      <c r="PCJ19" s="10"/>
      <c r="PCK19" s="10"/>
      <c r="PCL19" s="10"/>
      <c r="PCM19" s="10"/>
      <c r="PCN19" s="10"/>
      <c r="PCO19" s="10"/>
      <c r="PCP19" s="10"/>
      <c r="PCQ19" s="10"/>
      <c r="PCR19" s="10"/>
      <c r="PCS19" s="10"/>
      <c r="PCT19" s="10"/>
      <c r="PCU19" s="10"/>
      <c r="PCV19" s="10"/>
      <c r="PCW19" s="10"/>
      <c r="PCX19" s="10"/>
      <c r="PCY19" s="10"/>
      <c r="PCZ19" s="10"/>
      <c r="PDA19" s="10"/>
      <c r="PDB19" s="10"/>
      <c r="PDC19" s="10"/>
      <c r="PDD19" s="10"/>
      <c r="PDE19" s="10"/>
      <c r="PDF19" s="10"/>
      <c r="PDG19" s="10"/>
      <c r="PDH19" s="10"/>
      <c r="PDI19" s="10"/>
      <c r="PDJ19" s="10"/>
      <c r="PDK19" s="10"/>
      <c r="PDL19" s="10"/>
      <c r="PDM19" s="10"/>
      <c r="PDN19" s="10"/>
      <c r="PDO19" s="10"/>
      <c r="PDP19" s="10"/>
      <c r="PDQ19" s="10"/>
      <c r="PDR19" s="10"/>
      <c r="PDS19" s="10"/>
      <c r="PDT19" s="10"/>
      <c r="PDU19" s="10"/>
      <c r="PDV19" s="10"/>
      <c r="PDW19" s="10"/>
      <c r="PDX19" s="10"/>
      <c r="PDY19" s="10"/>
      <c r="PDZ19" s="10"/>
      <c r="PEA19" s="10"/>
      <c r="PEB19" s="10"/>
      <c r="PEC19" s="10"/>
      <c r="PED19" s="10"/>
      <c r="PEE19" s="10"/>
      <c r="PEF19" s="10"/>
      <c r="PEG19" s="10"/>
      <c r="PEH19" s="10"/>
      <c r="PEI19" s="10"/>
      <c r="PEJ19" s="10"/>
      <c r="PEK19" s="10"/>
      <c r="PEL19" s="10"/>
      <c r="PEM19" s="10"/>
      <c r="PEN19" s="10"/>
      <c r="PEO19" s="10"/>
      <c r="PEP19" s="10"/>
      <c r="PEQ19" s="10"/>
      <c r="PER19" s="10"/>
      <c r="PES19" s="10"/>
      <c r="PET19" s="10"/>
      <c r="PEU19" s="10"/>
      <c r="PEV19" s="10"/>
      <c r="PEW19" s="10"/>
      <c r="PEX19" s="10"/>
      <c r="PEY19" s="10"/>
      <c r="PEZ19" s="10"/>
      <c r="PFA19" s="10"/>
      <c r="PFB19" s="10"/>
      <c r="PFC19" s="10"/>
      <c r="PFD19" s="10"/>
      <c r="PFE19" s="10"/>
      <c r="PFF19" s="10"/>
      <c r="PFG19" s="10"/>
      <c r="PFH19" s="10"/>
      <c r="PFI19" s="10"/>
      <c r="PFJ19" s="10"/>
      <c r="PFK19" s="10"/>
      <c r="PFL19" s="10"/>
      <c r="PFM19" s="10"/>
      <c r="PFN19" s="10"/>
      <c r="PFO19" s="10"/>
      <c r="PFP19" s="10"/>
      <c r="PFQ19" s="10"/>
      <c r="PFR19" s="10"/>
      <c r="PFS19" s="10"/>
      <c r="PFT19" s="10"/>
      <c r="PFU19" s="10"/>
      <c r="PFV19" s="10"/>
      <c r="PFW19" s="10"/>
      <c r="PFX19" s="10"/>
      <c r="PFY19" s="10"/>
      <c r="PFZ19" s="10"/>
      <c r="PGA19" s="10"/>
      <c r="PGB19" s="10"/>
      <c r="PGC19" s="10"/>
      <c r="PGD19" s="10"/>
      <c r="PGE19" s="10"/>
      <c r="PGF19" s="10"/>
      <c r="PGG19" s="10"/>
      <c r="PGH19" s="10"/>
      <c r="PGI19" s="10"/>
      <c r="PGJ19" s="10"/>
      <c r="PGK19" s="10"/>
      <c r="PGL19" s="10"/>
      <c r="PGM19" s="10"/>
      <c r="PGN19" s="10"/>
      <c r="PGO19" s="10"/>
      <c r="PGP19" s="10"/>
      <c r="PGQ19" s="10"/>
      <c r="PGR19" s="10"/>
      <c r="PGS19" s="10"/>
      <c r="PGT19" s="10"/>
      <c r="PGU19" s="10"/>
      <c r="PGV19" s="10"/>
      <c r="PGW19" s="10"/>
      <c r="PGX19" s="10"/>
      <c r="PGY19" s="10"/>
      <c r="PGZ19" s="10"/>
      <c r="PHA19" s="10"/>
      <c r="PHB19" s="10"/>
      <c r="PHC19" s="10"/>
      <c r="PHD19" s="10"/>
      <c r="PHE19" s="10"/>
      <c r="PHF19" s="10"/>
      <c r="PHG19" s="10"/>
      <c r="PHH19" s="10"/>
      <c r="PHI19" s="10"/>
      <c r="PHJ19" s="10"/>
      <c r="PHK19" s="10"/>
      <c r="PHL19" s="10"/>
      <c r="PHM19" s="10"/>
      <c r="PHN19" s="10"/>
      <c r="PHO19" s="10"/>
      <c r="PHP19" s="10"/>
      <c r="PHQ19" s="10"/>
      <c r="PHR19" s="10"/>
      <c r="PHS19" s="10"/>
      <c r="PHT19" s="10"/>
      <c r="PHU19" s="10"/>
      <c r="PHV19" s="10"/>
      <c r="PHW19" s="10"/>
      <c r="PHX19" s="10"/>
      <c r="PHY19" s="10"/>
      <c r="PHZ19" s="10"/>
      <c r="PIA19" s="10"/>
      <c r="PIB19" s="10"/>
      <c r="PIC19" s="10"/>
      <c r="PID19" s="10"/>
      <c r="PIE19" s="10"/>
      <c r="PIF19" s="10"/>
      <c r="PIG19" s="10"/>
      <c r="PIH19" s="10"/>
      <c r="PII19" s="10"/>
      <c r="PIJ19" s="10"/>
      <c r="PIK19" s="10"/>
      <c r="PIL19" s="10"/>
      <c r="PIM19" s="10"/>
      <c r="PIN19" s="10"/>
      <c r="PIO19" s="10"/>
      <c r="PIP19" s="10"/>
      <c r="PIQ19" s="10"/>
      <c r="PIR19" s="10"/>
      <c r="PIS19" s="10"/>
      <c r="PIT19" s="10"/>
      <c r="PIU19" s="10"/>
      <c r="PIV19" s="10"/>
      <c r="PIW19" s="10"/>
      <c r="PIX19" s="10"/>
      <c r="PIY19" s="10"/>
      <c r="PIZ19" s="10"/>
      <c r="PJA19" s="10"/>
      <c r="PJB19" s="10"/>
      <c r="PJC19" s="10"/>
      <c r="PJD19" s="10"/>
      <c r="PJE19" s="10"/>
      <c r="PJF19" s="10"/>
      <c r="PJG19" s="10"/>
      <c r="PJH19" s="10"/>
      <c r="PJI19" s="10"/>
      <c r="PJJ19" s="10"/>
      <c r="PJK19" s="10"/>
      <c r="PJL19" s="10"/>
      <c r="PJM19" s="10"/>
      <c r="PJN19" s="10"/>
      <c r="PJO19" s="10"/>
      <c r="PJP19" s="10"/>
      <c r="PJQ19" s="10"/>
      <c r="PJR19" s="10"/>
      <c r="PJS19" s="10"/>
      <c r="PJT19" s="10"/>
      <c r="PJU19" s="10"/>
      <c r="PJV19" s="10"/>
      <c r="PJW19" s="10"/>
      <c r="PJX19" s="10"/>
      <c r="PJY19" s="10"/>
      <c r="PJZ19" s="10"/>
      <c r="PKA19" s="10"/>
      <c r="PKB19" s="10"/>
      <c r="PKC19" s="10"/>
      <c r="PKD19" s="10"/>
      <c r="PKE19" s="10"/>
      <c r="PKF19" s="10"/>
      <c r="PKG19" s="10"/>
      <c r="PKH19" s="10"/>
      <c r="PKI19" s="10"/>
      <c r="PKJ19" s="10"/>
      <c r="PKK19" s="10"/>
      <c r="PKL19" s="10"/>
      <c r="PKM19" s="10"/>
      <c r="PKN19" s="10"/>
      <c r="PKO19" s="10"/>
      <c r="PKP19" s="10"/>
      <c r="PKQ19" s="10"/>
      <c r="PKR19" s="10"/>
      <c r="PKS19" s="10"/>
      <c r="PKT19" s="10"/>
      <c r="PKU19" s="10"/>
      <c r="PKV19" s="10"/>
      <c r="PKW19" s="10"/>
      <c r="PKX19" s="10"/>
      <c r="PKY19" s="10"/>
      <c r="PKZ19" s="10"/>
      <c r="PLA19" s="10"/>
      <c r="PLB19" s="10"/>
      <c r="PLC19" s="10"/>
      <c r="PLD19" s="10"/>
      <c r="PLE19" s="10"/>
      <c r="PLF19" s="10"/>
      <c r="PLG19" s="10"/>
      <c r="PLH19" s="10"/>
      <c r="PLI19" s="10"/>
      <c r="PLJ19" s="10"/>
      <c r="PLK19" s="10"/>
      <c r="PLL19" s="10"/>
      <c r="PLM19" s="10"/>
      <c r="PLN19" s="10"/>
      <c r="PLO19" s="10"/>
      <c r="PLP19" s="10"/>
      <c r="PLQ19" s="10"/>
      <c r="PLR19" s="10"/>
      <c r="PLS19" s="10"/>
      <c r="PLT19" s="10"/>
      <c r="PLU19" s="10"/>
      <c r="PLV19" s="10"/>
      <c r="PLW19" s="10"/>
      <c r="PLX19" s="10"/>
      <c r="PLY19" s="10"/>
      <c r="PLZ19" s="10"/>
      <c r="PMA19" s="10"/>
      <c r="PMB19" s="10"/>
      <c r="PMC19" s="10"/>
      <c r="PMD19" s="10"/>
      <c r="PME19" s="10"/>
      <c r="PMF19" s="10"/>
      <c r="PMG19" s="10"/>
      <c r="PMH19" s="10"/>
      <c r="PMI19" s="10"/>
      <c r="PMJ19" s="10"/>
      <c r="PMK19" s="10"/>
      <c r="PML19" s="10"/>
      <c r="PMM19" s="10"/>
      <c r="PMN19" s="10"/>
      <c r="PMO19" s="10"/>
      <c r="PMP19" s="10"/>
      <c r="PMQ19" s="10"/>
      <c r="PMR19" s="10"/>
      <c r="PMS19" s="10"/>
      <c r="PMT19" s="10"/>
      <c r="PMU19" s="10"/>
      <c r="PMV19" s="10"/>
      <c r="PMW19" s="10"/>
      <c r="PMX19" s="10"/>
      <c r="PMY19" s="10"/>
      <c r="PMZ19" s="10"/>
      <c r="PNA19" s="10"/>
      <c r="PNB19" s="10"/>
      <c r="PNC19" s="10"/>
      <c r="PND19" s="10"/>
      <c r="PNE19" s="10"/>
      <c r="PNF19" s="10"/>
      <c r="PNG19" s="10"/>
      <c r="PNH19" s="10"/>
      <c r="PNI19" s="10"/>
      <c r="PNJ19" s="10"/>
      <c r="PNK19" s="10"/>
      <c r="PNL19" s="10"/>
      <c r="PNM19" s="10"/>
      <c r="PNN19" s="10"/>
      <c r="PNO19" s="10"/>
      <c r="PNP19" s="10"/>
      <c r="PNQ19" s="10"/>
      <c r="PNR19" s="10"/>
      <c r="PNS19" s="10"/>
      <c r="PNT19" s="10"/>
      <c r="PNU19" s="10"/>
      <c r="PNV19" s="10"/>
      <c r="PNW19" s="10"/>
      <c r="PNX19" s="10"/>
      <c r="PNY19" s="10"/>
      <c r="PNZ19" s="10"/>
      <c r="POA19" s="10"/>
      <c r="POB19" s="10"/>
      <c r="POC19" s="10"/>
      <c r="POD19" s="10"/>
      <c r="POE19" s="10"/>
      <c r="POF19" s="10"/>
      <c r="POG19" s="10"/>
      <c r="POH19" s="10"/>
      <c r="POI19" s="10"/>
      <c r="POJ19" s="10"/>
      <c r="POK19" s="10"/>
      <c r="POL19" s="10"/>
      <c r="POM19" s="10"/>
      <c r="PON19" s="10"/>
      <c r="POO19" s="10"/>
      <c r="POP19" s="10"/>
      <c r="POQ19" s="10"/>
      <c r="POR19" s="10"/>
      <c r="POS19" s="10"/>
      <c r="POT19" s="10"/>
      <c r="POU19" s="10"/>
      <c r="POV19" s="10"/>
      <c r="POW19" s="10"/>
      <c r="POX19" s="10"/>
      <c r="POY19" s="10"/>
      <c r="POZ19" s="10"/>
      <c r="PPA19" s="10"/>
      <c r="PPB19" s="10"/>
      <c r="PPC19" s="10"/>
      <c r="PPD19" s="10"/>
      <c r="PPE19" s="10"/>
      <c r="PPF19" s="10"/>
      <c r="PPG19" s="10"/>
      <c r="PPH19" s="10"/>
      <c r="PPI19" s="10"/>
      <c r="PPJ19" s="10"/>
      <c r="PPK19" s="10"/>
      <c r="PPL19" s="10"/>
      <c r="PPM19" s="10"/>
      <c r="PPN19" s="10"/>
      <c r="PPO19" s="10"/>
      <c r="PPP19" s="10"/>
      <c r="PPQ19" s="10"/>
      <c r="PPR19" s="10"/>
      <c r="PPS19" s="10"/>
      <c r="PPT19" s="10"/>
      <c r="PPU19" s="10"/>
      <c r="PPV19" s="10"/>
      <c r="PPW19" s="10"/>
      <c r="PPX19" s="10"/>
      <c r="PPY19" s="10"/>
      <c r="PPZ19" s="10"/>
      <c r="PQA19" s="10"/>
      <c r="PQB19" s="10"/>
      <c r="PQC19" s="10"/>
      <c r="PQD19" s="10"/>
      <c r="PQE19" s="10"/>
      <c r="PQF19" s="10"/>
      <c r="PQG19" s="10"/>
      <c r="PQH19" s="10"/>
      <c r="PQI19" s="10"/>
      <c r="PQJ19" s="10"/>
      <c r="PQK19" s="10"/>
      <c r="PQL19" s="10"/>
      <c r="PQM19" s="10"/>
      <c r="PQN19" s="10"/>
      <c r="PQO19" s="10"/>
      <c r="PQP19" s="10"/>
      <c r="PQQ19" s="10"/>
      <c r="PQR19" s="10"/>
      <c r="PQS19" s="10"/>
      <c r="PQT19" s="10"/>
      <c r="PQU19" s="10"/>
      <c r="PQV19" s="10"/>
      <c r="PQW19" s="10"/>
      <c r="PQX19" s="10"/>
      <c r="PQY19" s="10"/>
      <c r="PQZ19" s="10"/>
      <c r="PRA19" s="10"/>
      <c r="PRB19" s="10"/>
      <c r="PRC19" s="10"/>
      <c r="PRD19" s="10"/>
      <c r="PRE19" s="10"/>
      <c r="PRF19" s="10"/>
      <c r="PRG19" s="10"/>
      <c r="PRH19" s="10"/>
      <c r="PRI19" s="10"/>
      <c r="PRJ19" s="10"/>
      <c r="PRK19" s="10"/>
      <c r="PRL19" s="10"/>
      <c r="PRM19" s="10"/>
      <c r="PRN19" s="10"/>
      <c r="PRO19" s="10"/>
      <c r="PRP19" s="10"/>
      <c r="PRQ19" s="10"/>
      <c r="PRR19" s="10"/>
      <c r="PRS19" s="10"/>
      <c r="PRT19" s="10"/>
      <c r="PRU19" s="10"/>
      <c r="PRV19" s="10"/>
      <c r="PRW19" s="10"/>
      <c r="PRX19" s="10"/>
      <c r="PRY19" s="10"/>
      <c r="PRZ19" s="10"/>
      <c r="PSA19" s="10"/>
      <c r="PSB19" s="10"/>
      <c r="PSC19" s="10"/>
      <c r="PSD19" s="10"/>
      <c r="PSE19" s="10"/>
      <c r="PSF19" s="10"/>
      <c r="PSG19" s="10"/>
      <c r="PSH19" s="10"/>
      <c r="PSI19" s="10"/>
      <c r="PSJ19" s="10"/>
      <c r="PSK19" s="10"/>
      <c r="PSL19" s="10"/>
      <c r="PSM19" s="10"/>
      <c r="PSN19" s="10"/>
      <c r="PSO19" s="10"/>
      <c r="PSP19" s="10"/>
      <c r="PSQ19" s="10"/>
      <c r="PSR19" s="10"/>
      <c r="PSS19" s="10"/>
      <c r="PST19" s="10"/>
      <c r="PSU19" s="10"/>
      <c r="PSV19" s="10"/>
      <c r="PSW19" s="10"/>
      <c r="PSX19" s="10"/>
      <c r="PSY19" s="10"/>
      <c r="PSZ19" s="10"/>
      <c r="PTA19" s="10"/>
      <c r="PTB19" s="10"/>
      <c r="PTC19" s="10"/>
      <c r="PTD19" s="10"/>
      <c r="PTE19" s="10"/>
      <c r="PTF19" s="10"/>
      <c r="PTG19" s="10"/>
      <c r="PTH19" s="10"/>
      <c r="PTI19" s="10"/>
      <c r="PTJ19" s="10"/>
      <c r="PTK19" s="10"/>
      <c r="PTL19" s="10"/>
      <c r="PTM19" s="10"/>
      <c r="PTN19" s="10"/>
      <c r="PTO19" s="10"/>
      <c r="PTP19" s="10"/>
      <c r="PTQ19" s="10"/>
      <c r="PTR19" s="10"/>
      <c r="PTS19" s="10"/>
      <c r="PTT19" s="10"/>
      <c r="PTU19" s="10"/>
      <c r="PTV19" s="10"/>
      <c r="PTW19" s="10"/>
      <c r="PTX19" s="10"/>
      <c r="PTY19" s="10"/>
      <c r="PTZ19" s="10"/>
      <c r="PUA19" s="10"/>
      <c r="PUB19" s="10"/>
      <c r="PUC19" s="10"/>
      <c r="PUD19" s="10"/>
      <c r="PUE19" s="10"/>
      <c r="PUF19" s="10"/>
      <c r="PUG19" s="10"/>
      <c r="PUH19" s="10"/>
      <c r="PUI19" s="10"/>
      <c r="PUJ19" s="10"/>
      <c r="PUK19" s="10"/>
      <c r="PUL19" s="10"/>
      <c r="PUM19" s="10"/>
      <c r="PUN19" s="10"/>
      <c r="PUO19" s="10"/>
      <c r="PUP19" s="10"/>
      <c r="PUQ19" s="10"/>
      <c r="PUR19" s="10"/>
      <c r="PUS19" s="10"/>
      <c r="PUT19" s="10"/>
      <c r="PUU19" s="10"/>
      <c r="PUV19" s="10"/>
      <c r="PUW19" s="10"/>
      <c r="PUX19" s="10"/>
      <c r="PUY19" s="10"/>
      <c r="PUZ19" s="10"/>
      <c r="PVA19" s="10"/>
      <c r="PVB19" s="10"/>
      <c r="PVC19" s="10"/>
      <c r="PVD19" s="10"/>
      <c r="PVE19" s="10"/>
      <c r="PVF19" s="10"/>
      <c r="PVG19" s="10"/>
      <c r="PVH19" s="10"/>
      <c r="PVI19" s="10"/>
      <c r="PVJ19" s="10"/>
      <c r="PVK19" s="10"/>
      <c r="PVL19" s="10"/>
      <c r="PVM19" s="10"/>
      <c r="PVN19" s="10"/>
      <c r="PVO19" s="10"/>
      <c r="PVP19" s="10"/>
      <c r="PVQ19" s="10"/>
      <c r="PVR19" s="10"/>
      <c r="PVS19" s="10"/>
      <c r="PVT19" s="10"/>
      <c r="PVU19" s="10"/>
      <c r="PVV19" s="10"/>
      <c r="PVW19" s="10"/>
      <c r="PVX19" s="10"/>
      <c r="PVY19" s="10"/>
      <c r="PVZ19" s="10"/>
      <c r="PWA19" s="10"/>
      <c r="PWB19" s="10"/>
      <c r="PWC19" s="10"/>
      <c r="PWD19" s="10"/>
      <c r="PWE19" s="10"/>
      <c r="PWF19" s="10"/>
      <c r="PWG19" s="10"/>
      <c r="PWH19" s="10"/>
      <c r="PWI19" s="10"/>
      <c r="PWJ19" s="10"/>
      <c r="PWK19" s="10"/>
      <c r="PWL19" s="10"/>
      <c r="PWM19" s="10"/>
      <c r="PWN19" s="10"/>
      <c r="PWO19" s="10"/>
      <c r="PWP19" s="10"/>
      <c r="PWQ19" s="10"/>
      <c r="PWR19" s="10"/>
      <c r="PWS19" s="10"/>
      <c r="PWT19" s="10"/>
      <c r="PWU19" s="10"/>
      <c r="PWV19" s="10"/>
      <c r="PWW19" s="10"/>
      <c r="PWX19" s="10"/>
      <c r="PWY19" s="10"/>
      <c r="PWZ19" s="10"/>
      <c r="PXA19" s="10"/>
      <c r="PXB19" s="10"/>
      <c r="PXC19" s="10"/>
      <c r="PXD19" s="10"/>
      <c r="PXE19" s="10"/>
      <c r="PXF19" s="10"/>
      <c r="PXG19" s="10"/>
      <c r="PXH19" s="10"/>
      <c r="PXI19" s="10"/>
      <c r="PXJ19" s="10"/>
      <c r="PXK19" s="10"/>
      <c r="PXL19" s="10"/>
      <c r="PXM19" s="10"/>
      <c r="PXN19" s="10"/>
      <c r="PXO19" s="10"/>
      <c r="PXP19" s="10"/>
      <c r="PXQ19" s="10"/>
      <c r="PXR19" s="10"/>
      <c r="PXS19" s="10"/>
      <c r="PXT19" s="10"/>
      <c r="PXU19" s="10"/>
      <c r="PXV19" s="10"/>
      <c r="PXW19" s="10"/>
      <c r="PXX19" s="10"/>
      <c r="PXY19" s="10"/>
      <c r="PXZ19" s="10"/>
      <c r="PYA19" s="10"/>
      <c r="PYB19" s="10"/>
      <c r="PYC19" s="10"/>
      <c r="PYD19" s="10"/>
      <c r="PYE19" s="10"/>
      <c r="PYF19" s="10"/>
      <c r="PYG19" s="10"/>
      <c r="PYH19" s="10"/>
      <c r="PYI19" s="10"/>
      <c r="PYJ19" s="10"/>
      <c r="PYK19" s="10"/>
      <c r="PYL19" s="10"/>
      <c r="PYM19" s="10"/>
      <c r="PYN19" s="10"/>
      <c r="PYO19" s="10"/>
      <c r="PYP19" s="10"/>
      <c r="PYQ19" s="10"/>
      <c r="PYR19" s="10"/>
      <c r="PYS19" s="10"/>
      <c r="PYT19" s="10"/>
      <c r="PYU19" s="10"/>
      <c r="PYV19" s="10"/>
      <c r="PYW19" s="10"/>
      <c r="PYX19" s="10"/>
      <c r="PYY19" s="10"/>
      <c r="PYZ19" s="10"/>
      <c r="PZA19" s="10"/>
      <c r="PZB19" s="10"/>
      <c r="PZC19" s="10"/>
      <c r="PZD19" s="10"/>
      <c r="PZE19" s="10"/>
      <c r="PZF19" s="10"/>
      <c r="PZG19" s="10"/>
      <c r="PZH19" s="10"/>
      <c r="PZI19" s="10"/>
      <c r="PZJ19" s="10"/>
      <c r="PZK19" s="10"/>
      <c r="PZL19" s="10"/>
      <c r="PZM19" s="10"/>
      <c r="PZN19" s="10"/>
      <c r="PZO19" s="10"/>
      <c r="PZP19" s="10"/>
      <c r="PZQ19" s="10"/>
      <c r="PZR19" s="10"/>
      <c r="PZS19" s="10"/>
      <c r="PZT19" s="10"/>
      <c r="PZU19" s="10"/>
      <c r="PZV19" s="10"/>
      <c r="PZW19" s="10"/>
      <c r="PZX19" s="10"/>
      <c r="PZY19" s="10"/>
      <c r="PZZ19" s="10"/>
      <c r="QAA19" s="10"/>
      <c r="QAB19" s="10"/>
      <c r="QAC19" s="10"/>
      <c r="QAD19" s="10"/>
      <c r="QAE19" s="10"/>
      <c r="QAF19" s="10"/>
      <c r="QAG19" s="10"/>
      <c r="QAH19" s="10"/>
      <c r="QAI19" s="10"/>
      <c r="QAJ19" s="10"/>
      <c r="QAK19" s="10"/>
      <c r="QAL19" s="10"/>
      <c r="QAM19" s="10"/>
      <c r="QAN19" s="10"/>
      <c r="QAO19" s="10"/>
      <c r="QAP19" s="10"/>
      <c r="QAQ19" s="10"/>
      <c r="QAR19" s="10"/>
      <c r="QAS19" s="10"/>
      <c r="QAT19" s="10"/>
      <c r="QAU19" s="10"/>
      <c r="QAV19" s="10"/>
      <c r="QAW19" s="10"/>
      <c r="QAX19" s="10"/>
      <c r="QAY19" s="10"/>
      <c r="QAZ19" s="10"/>
      <c r="QBA19" s="10"/>
      <c r="QBB19" s="10"/>
      <c r="QBC19" s="10"/>
      <c r="QBD19" s="10"/>
      <c r="QBE19" s="10"/>
      <c r="QBF19" s="10"/>
      <c r="QBG19" s="10"/>
      <c r="QBH19" s="10"/>
      <c r="QBI19" s="10"/>
      <c r="QBJ19" s="10"/>
      <c r="QBK19" s="10"/>
      <c r="QBL19" s="10"/>
      <c r="QBM19" s="10"/>
      <c r="QBN19" s="10"/>
      <c r="QBO19" s="10"/>
      <c r="QBP19" s="10"/>
      <c r="QBQ19" s="10"/>
      <c r="QBR19" s="10"/>
      <c r="QBS19" s="10"/>
      <c r="QBT19" s="10"/>
      <c r="QBU19" s="10"/>
      <c r="QBV19" s="10"/>
      <c r="QBW19" s="10"/>
      <c r="QBX19" s="10"/>
      <c r="QBY19" s="10"/>
      <c r="QBZ19" s="10"/>
      <c r="QCA19" s="10"/>
      <c r="QCB19" s="10"/>
      <c r="QCC19" s="10"/>
      <c r="QCD19" s="10"/>
      <c r="QCE19" s="10"/>
      <c r="QCF19" s="10"/>
      <c r="QCG19" s="10"/>
      <c r="QCH19" s="10"/>
      <c r="QCI19" s="10"/>
      <c r="QCJ19" s="10"/>
      <c r="QCK19" s="10"/>
      <c r="QCL19" s="10"/>
      <c r="QCM19" s="10"/>
      <c r="QCN19" s="10"/>
      <c r="QCO19" s="10"/>
      <c r="QCP19" s="10"/>
      <c r="QCQ19" s="10"/>
      <c r="QCR19" s="10"/>
      <c r="QCS19" s="10"/>
      <c r="QCT19" s="10"/>
      <c r="QCU19" s="10"/>
      <c r="QCV19" s="10"/>
      <c r="QCW19" s="10"/>
      <c r="QCX19" s="10"/>
      <c r="QCY19" s="10"/>
      <c r="QCZ19" s="10"/>
      <c r="QDA19" s="10"/>
      <c r="QDB19" s="10"/>
      <c r="QDC19" s="10"/>
      <c r="QDD19" s="10"/>
      <c r="QDE19" s="10"/>
      <c r="QDF19" s="10"/>
      <c r="QDG19" s="10"/>
      <c r="QDH19" s="10"/>
      <c r="QDI19" s="10"/>
      <c r="QDJ19" s="10"/>
      <c r="QDK19" s="10"/>
      <c r="QDL19" s="10"/>
      <c r="QDM19" s="10"/>
      <c r="QDN19" s="10"/>
      <c r="QDO19" s="10"/>
      <c r="QDP19" s="10"/>
      <c r="QDQ19" s="10"/>
      <c r="QDR19" s="10"/>
      <c r="QDS19" s="10"/>
      <c r="QDT19" s="10"/>
      <c r="QDU19" s="10"/>
      <c r="QDV19" s="10"/>
      <c r="QDW19" s="10"/>
      <c r="QDX19" s="10"/>
      <c r="QDY19" s="10"/>
      <c r="QDZ19" s="10"/>
      <c r="QEA19" s="10"/>
      <c r="QEB19" s="10"/>
      <c r="QEC19" s="10"/>
      <c r="QED19" s="10"/>
      <c r="QEE19" s="10"/>
      <c r="QEF19" s="10"/>
      <c r="QEG19" s="10"/>
      <c r="QEH19" s="10"/>
      <c r="QEI19" s="10"/>
      <c r="QEJ19" s="10"/>
      <c r="QEK19" s="10"/>
      <c r="QEL19" s="10"/>
      <c r="QEM19" s="10"/>
      <c r="QEN19" s="10"/>
      <c r="QEO19" s="10"/>
      <c r="QEP19" s="10"/>
      <c r="QEQ19" s="10"/>
      <c r="QER19" s="10"/>
      <c r="QES19" s="10"/>
      <c r="QET19" s="10"/>
      <c r="QEU19" s="10"/>
      <c r="QEV19" s="10"/>
      <c r="QEW19" s="10"/>
      <c r="QEX19" s="10"/>
      <c r="QEY19" s="10"/>
      <c r="QEZ19" s="10"/>
      <c r="QFA19" s="10"/>
      <c r="QFB19" s="10"/>
      <c r="QFC19" s="10"/>
      <c r="QFD19" s="10"/>
      <c r="QFE19" s="10"/>
      <c r="QFF19" s="10"/>
      <c r="QFG19" s="10"/>
      <c r="QFH19" s="10"/>
      <c r="QFI19" s="10"/>
      <c r="QFJ19" s="10"/>
      <c r="QFK19" s="10"/>
      <c r="QFL19" s="10"/>
      <c r="QFM19" s="10"/>
      <c r="QFN19" s="10"/>
      <c r="QFO19" s="10"/>
      <c r="QFP19" s="10"/>
      <c r="QFQ19" s="10"/>
      <c r="QFR19" s="10"/>
      <c r="QFS19" s="10"/>
      <c r="QFT19" s="10"/>
      <c r="QFU19" s="10"/>
      <c r="QFV19" s="10"/>
      <c r="QFW19" s="10"/>
      <c r="QFX19" s="10"/>
      <c r="QFY19" s="10"/>
      <c r="QFZ19" s="10"/>
      <c r="QGA19" s="10"/>
      <c r="QGB19" s="10"/>
      <c r="QGC19" s="10"/>
      <c r="QGD19" s="10"/>
      <c r="QGE19" s="10"/>
      <c r="QGF19" s="10"/>
      <c r="QGG19" s="10"/>
      <c r="QGH19" s="10"/>
      <c r="QGI19" s="10"/>
      <c r="QGJ19" s="10"/>
      <c r="QGK19" s="10"/>
      <c r="QGL19" s="10"/>
      <c r="QGM19" s="10"/>
      <c r="QGN19" s="10"/>
      <c r="QGO19" s="10"/>
      <c r="QGP19" s="10"/>
      <c r="QGQ19" s="10"/>
      <c r="QGR19" s="10"/>
      <c r="QGS19" s="10"/>
      <c r="QGT19" s="10"/>
      <c r="QGU19" s="10"/>
      <c r="QGV19" s="10"/>
      <c r="QGW19" s="10"/>
      <c r="QGX19" s="10"/>
      <c r="QGY19" s="10"/>
      <c r="QGZ19" s="10"/>
      <c r="QHA19" s="10"/>
      <c r="QHB19" s="10"/>
      <c r="QHC19" s="10"/>
      <c r="QHD19" s="10"/>
      <c r="QHE19" s="10"/>
      <c r="QHF19" s="10"/>
      <c r="QHG19" s="10"/>
      <c r="QHH19" s="10"/>
      <c r="QHI19" s="10"/>
      <c r="QHJ19" s="10"/>
      <c r="QHK19" s="10"/>
      <c r="QHL19" s="10"/>
      <c r="QHM19" s="10"/>
      <c r="QHN19" s="10"/>
      <c r="QHO19" s="10"/>
      <c r="QHP19" s="10"/>
      <c r="QHQ19" s="10"/>
      <c r="QHR19" s="10"/>
      <c r="QHS19" s="10"/>
      <c r="QHT19" s="10"/>
      <c r="QHU19" s="10"/>
      <c r="QHV19" s="10"/>
      <c r="QHW19" s="10"/>
      <c r="QHX19" s="10"/>
      <c r="QHY19" s="10"/>
      <c r="QHZ19" s="10"/>
      <c r="QIA19" s="10"/>
      <c r="QIB19" s="10"/>
      <c r="QIC19" s="10"/>
      <c r="QID19" s="10"/>
      <c r="QIE19" s="10"/>
      <c r="QIF19" s="10"/>
      <c r="QIG19" s="10"/>
      <c r="QIH19" s="10"/>
      <c r="QII19" s="10"/>
      <c r="QIJ19" s="10"/>
      <c r="QIK19" s="10"/>
      <c r="QIL19" s="10"/>
      <c r="QIM19" s="10"/>
      <c r="QIN19" s="10"/>
      <c r="QIO19" s="10"/>
      <c r="QIP19" s="10"/>
      <c r="QIQ19" s="10"/>
      <c r="QIR19" s="10"/>
      <c r="QIS19" s="10"/>
      <c r="QIT19" s="10"/>
      <c r="QIU19" s="10"/>
      <c r="QIV19" s="10"/>
      <c r="QIW19" s="10"/>
      <c r="QIX19" s="10"/>
      <c r="QIY19" s="10"/>
      <c r="QIZ19" s="10"/>
      <c r="QJA19" s="10"/>
      <c r="QJB19" s="10"/>
      <c r="QJC19" s="10"/>
      <c r="QJD19" s="10"/>
      <c r="QJE19" s="10"/>
      <c r="QJF19" s="10"/>
      <c r="QJG19" s="10"/>
      <c r="QJH19" s="10"/>
      <c r="QJI19" s="10"/>
      <c r="QJJ19" s="10"/>
      <c r="QJK19" s="10"/>
      <c r="QJL19" s="10"/>
      <c r="QJM19" s="10"/>
      <c r="QJN19" s="10"/>
      <c r="QJO19" s="10"/>
      <c r="QJP19" s="10"/>
      <c r="QJQ19" s="10"/>
      <c r="QJR19" s="10"/>
      <c r="QJS19" s="10"/>
      <c r="QJT19" s="10"/>
      <c r="QJU19" s="10"/>
      <c r="QJV19" s="10"/>
      <c r="QJW19" s="10"/>
      <c r="QJX19" s="10"/>
      <c r="QJY19" s="10"/>
      <c r="QJZ19" s="10"/>
      <c r="QKA19" s="10"/>
      <c r="QKB19" s="10"/>
      <c r="QKC19" s="10"/>
      <c r="QKD19" s="10"/>
      <c r="QKE19" s="10"/>
      <c r="QKF19" s="10"/>
      <c r="QKG19" s="10"/>
      <c r="QKH19" s="10"/>
      <c r="QKI19" s="10"/>
      <c r="QKJ19" s="10"/>
      <c r="QKK19" s="10"/>
      <c r="QKL19" s="10"/>
      <c r="QKM19" s="10"/>
      <c r="QKN19" s="10"/>
      <c r="QKO19" s="10"/>
      <c r="QKP19" s="10"/>
      <c r="QKQ19" s="10"/>
      <c r="QKR19" s="10"/>
      <c r="QKS19" s="10"/>
      <c r="QKT19" s="10"/>
      <c r="QKU19" s="10"/>
      <c r="QKV19" s="10"/>
      <c r="QKW19" s="10"/>
      <c r="QKX19" s="10"/>
      <c r="QKY19" s="10"/>
      <c r="QKZ19" s="10"/>
      <c r="QLA19" s="10"/>
      <c r="QLB19" s="10"/>
      <c r="QLC19" s="10"/>
      <c r="QLD19" s="10"/>
      <c r="QLE19" s="10"/>
      <c r="QLF19" s="10"/>
      <c r="QLG19" s="10"/>
      <c r="QLH19" s="10"/>
      <c r="QLI19" s="10"/>
      <c r="QLJ19" s="10"/>
      <c r="QLK19" s="10"/>
      <c r="QLL19" s="10"/>
      <c r="QLM19" s="10"/>
      <c r="QLN19" s="10"/>
      <c r="QLO19" s="10"/>
      <c r="QLP19" s="10"/>
      <c r="QLQ19" s="10"/>
      <c r="QLR19" s="10"/>
      <c r="QLS19" s="10"/>
      <c r="QLT19" s="10"/>
      <c r="QLU19" s="10"/>
      <c r="QLV19" s="10"/>
      <c r="QLW19" s="10"/>
      <c r="QLX19" s="10"/>
      <c r="QLY19" s="10"/>
      <c r="QLZ19" s="10"/>
      <c r="QMA19" s="10"/>
      <c r="QMB19" s="10"/>
      <c r="QMC19" s="10"/>
      <c r="QMD19" s="10"/>
      <c r="QME19" s="10"/>
      <c r="QMF19" s="10"/>
      <c r="QMG19" s="10"/>
      <c r="QMH19" s="10"/>
      <c r="QMI19" s="10"/>
      <c r="QMJ19" s="10"/>
      <c r="QMK19" s="10"/>
      <c r="QML19" s="10"/>
      <c r="QMM19" s="10"/>
      <c r="QMN19" s="10"/>
      <c r="QMO19" s="10"/>
      <c r="QMP19" s="10"/>
      <c r="QMQ19" s="10"/>
      <c r="QMR19" s="10"/>
      <c r="QMS19" s="10"/>
      <c r="QMT19" s="10"/>
      <c r="QMU19" s="10"/>
      <c r="QMV19" s="10"/>
      <c r="QMW19" s="10"/>
      <c r="QMX19" s="10"/>
      <c r="QMY19" s="10"/>
      <c r="QMZ19" s="10"/>
      <c r="QNA19" s="10"/>
      <c r="QNB19" s="10"/>
      <c r="QNC19" s="10"/>
      <c r="QND19" s="10"/>
      <c r="QNE19" s="10"/>
      <c r="QNF19" s="10"/>
      <c r="QNG19" s="10"/>
      <c r="QNH19" s="10"/>
      <c r="QNI19" s="10"/>
      <c r="QNJ19" s="10"/>
      <c r="QNK19" s="10"/>
      <c r="QNL19" s="10"/>
      <c r="QNM19" s="10"/>
      <c r="QNN19" s="10"/>
      <c r="QNO19" s="10"/>
      <c r="QNP19" s="10"/>
      <c r="QNQ19" s="10"/>
      <c r="QNR19" s="10"/>
      <c r="QNS19" s="10"/>
      <c r="QNT19" s="10"/>
      <c r="QNU19" s="10"/>
      <c r="QNV19" s="10"/>
      <c r="QNW19" s="10"/>
      <c r="QNX19" s="10"/>
      <c r="QNY19" s="10"/>
      <c r="QNZ19" s="10"/>
      <c r="QOA19" s="10"/>
      <c r="QOB19" s="10"/>
      <c r="QOC19" s="10"/>
      <c r="QOD19" s="10"/>
      <c r="QOE19" s="10"/>
      <c r="QOF19" s="10"/>
      <c r="QOG19" s="10"/>
      <c r="QOH19" s="10"/>
      <c r="QOI19" s="10"/>
      <c r="QOJ19" s="10"/>
      <c r="QOK19" s="10"/>
      <c r="QOL19" s="10"/>
      <c r="QOM19" s="10"/>
      <c r="QON19" s="10"/>
      <c r="QOO19" s="10"/>
      <c r="QOP19" s="10"/>
      <c r="QOQ19" s="10"/>
      <c r="QOR19" s="10"/>
      <c r="QOS19" s="10"/>
      <c r="QOT19" s="10"/>
      <c r="QOU19" s="10"/>
      <c r="QOV19" s="10"/>
      <c r="QOW19" s="10"/>
      <c r="QOX19" s="10"/>
      <c r="QOY19" s="10"/>
      <c r="QOZ19" s="10"/>
      <c r="QPA19" s="10"/>
      <c r="QPB19" s="10"/>
      <c r="QPC19" s="10"/>
      <c r="QPD19" s="10"/>
      <c r="QPE19" s="10"/>
      <c r="QPF19" s="10"/>
      <c r="QPG19" s="10"/>
      <c r="QPH19" s="10"/>
      <c r="QPI19" s="10"/>
      <c r="QPJ19" s="10"/>
      <c r="QPK19" s="10"/>
      <c r="QPL19" s="10"/>
      <c r="QPM19" s="10"/>
      <c r="QPN19" s="10"/>
      <c r="QPO19" s="10"/>
      <c r="QPP19" s="10"/>
      <c r="QPQ19" s="10"/>
      <c r="QPR19" s="10"/>
      <c r="QPS19" s="10"/>
      <c r="QPT19" s="10"/>
      <c r="QPU19" s="10"/>
      <c r="QPV19" s="10"/>
      <c r="QPW19" s="10"/>
      <c r="QPX19" s="10"/>
      <c r="QPY19" s="10"/>
      <c r="QPZ19" s="10"/>
      <c r="QQA19" s="10"/>
      <c r="QQB19" s="10"/>
      <c r="QQC19" s="10"/>
      <c r="QQD19" s="10"/>
      <c r="QQE19" s="10"/>
      <c r="QQF19" s="10"/>
      <c r="QQG19" s="10"/>
      <c r="QQH19" s="10"/>
      <c r="QQI19" s="10"/>
      <c r="QQJ19" s="10"/>
      <c r="QQK19" s="10"/>
      <c r="QQL19" s="10"/>
      <c r="QQM19" s="10"/>
      <c r="QQN19" s="10"/>
      <c r="QQO19" s="10"/>
      <c r="QQP19" s="10"/>
      <c r="QQQ19" s="10"/>
      <c r="QQR19" s="10"/>
      <c r="QQS19" s="10"/>
      <c r="QQT19" s="10"/>
      <c r="QQU19" s="10"/>
      <c r="QQV19" s="10"/>
      <c r="QQW19" s="10"/>
      <c r="QQX19" s="10"/>
      <c r="QQY19" s="10"/>
      <c r="QQZ19" s="10"/>
      <c r="QRA19" s="10"/>
      <c r="QRB19" s="10"/>
      <c r="QRC19" s="10"/>
      <c r="QRD19" s="10"/>
      <c r="QRE19" s="10"/>
      <c r="QRF19" s="10"/>
      <c r="QRG19" s="10"/>
      <c r="QRH19" s="10"/>
      <c r="QRI19" s="10"/>
      <c r="QRJ19" s="10"/>
      <c r="QRK19" s="10"/>
      <c r="QRL19" s="10"/>
      <c r="QRM19" s="10"/>
      <c r="QRN19" s="10"/>
      <c r="QRO19" s="10"/>
      <c r="QRP19" s="10"/>
      <c r="QRQ19" s="10"/>
      <c r="QRR19" s="10"/>
      <c r="QRS19" s="10"/>
      <c r="QRT19" s="10"/>
      <c r="QRU19" s="10"/>
      <c r="QRV19" s="10"/>
      <c r="QRW19" s="10"/>
      <c r="QRX19" s="10"/>
      <c r="QRY19" s="10"/>
      <c r="QRZ19" s="10"/>
      <c r="QSA19" s="10"/>
      <c r="QSB19" s="10"/>
      <c r="QSC19" s="10"/>
      <c r="QSD19" s="10"/>
      <c r="QSE19" s="10"/>
      <c r="QSF19" s="10"/>
      <c r="QSG19" s="10"/>
      <c r="QSH19" s="10"/>
      <c r="QSI19" s="10"/>
      <c r="QSJ19" s="10"/>
      <c r="QSK19" s="10"/>
      <c r="QSL19" s="10"/>
      <c r="QSM19" s="10"/>
      <c r="QSN19" s="10"/>
      <c r="QSO19" s="10"/>
      <c r="QSP19" s="10"/>
      <c r="QSQ19" s="10"/>
      <c r="QSR19" s="10"/>
      <c r="QSS19" s="10"/>
      <c r="QST19" s="10"/>
      <c r="QSU19" s="10"/>
      <c r="QSV19" s="10"/>
      <c r="QSW19" s="10"/>
      <c r="QSX19" s="10"/>
      <c r="QSY19" s="10"/>
      <c r="QSZ19" s="10"/>
      <c r="QTA19" s="10"/>
      <c r="QTB19" s="10"/>
      <c r="QTC19" s="10"/>
      <c r="QTD19" s="10"/>
      <c r="QTE19" s="10"/>
      <c r="QTF19" s="10"/>
      <c r="QTG19" s="10"/>
      <c r="QTH19" s="10"/>
      <c r="QTI19" s="10"/>
      <c r="QTJ19" s="10"/>
      <c r="QTK19" s="10"/>
      <c r="QTL19" s="10"/>
      <c r="QTM19" s="10"/>
      <c r="QTN19" s="10"/>
      <c r="QTO19" s="10"/>
      <c r="QTP19" s="10"/>
      <c r="QTQ19" s="10"/>
      <c r="QTR19" s="10"/>
      <c r="QTS19" s="10"/>
      <c r="QTT19" s="10"/>
      <c r="QTU19" s="10"/>
      <c r="QTV19" s="10"/>
      <c r="QTW19" s="10"/>
      <c r="QTX19" s="10"/>
      <c r="QTY19" s="10"/>
      <c r="QTZ19" s="10"/>
      <c r="QUA19" s="10"/>
      <c r="QUB19" s="10"/>
      <c r="QUC19" s="10"/>
      <c r="QUD19" s="10"/>
      <c r="QUE19" s="10"/>
      <c r="QUF19" s="10"/>
      <c r="QUG19" s="10"/>
      <c r="QUH19" s="10"/>
      <c r="QUI19" s="10"/>
      <c r="QUJ19" s="10"/>
      <c r="QUK19" s="10"/>
      <c r="QUL19" s="10"/>
      <c r="QUM19" s="10"/>
      <c r="QUN19" s="10"/>
      <c r="QUO19" s="10"/>
      <c r="QUP19" s="10"/>
      <c r="QUQ19" s="10"/>
      <c r="QUR19" s="10"/>
      <c r="QUS19" s="10"/>
      <c r="QUT19" s="10"/>
      <c r="QUU19" s="10"/>
      <c r="QUV19" s="10"/>
      <c r="QUW19" s="10"/>
      <c r="QUX19" s="10"/>
      <c r="QUY19" s="10"/>
      <c r="QUZ19" s="10"/>
      <c r="QVA19" s="10"/>
      <c r="QVB19" s="10"/>
      <c r="QVC19" s="10"/>
      <c r="QVD19" s="10"/>
      <c r="QVE19" s="10"/>
      <c r="QVF19" s="10"/>
      <c r="QVG19" s="10"/>
      <c r="QVH19" s="10"/>
      <c r="QVI19" s="10"/>
      <c r="QVJ19" s="10"/>
      <c r="QVK19" s="10"/>
      <c r="QVL19" s="10"/>
      <c r="QVM19" s="10"/>
      <c r="QVN19" s="10"/>
      <c r="QVO19" s="10"/>
      <c r="QVP19" s="10"/>
      <c r="QVQ19" s="10"/>
      <c r="QVR19" s="10"/>
      <c r="QVS19" s="10"/>
      <c r="QVT19" s="10"/>
      <c r="QVU19" s="10"/>
      <c r="QVV19" s="10"/>
      <c r="QVW19" s="10"/>
      <c r="QVX19" s="10"/>
      <c r="QVY19" s="10"/>
      <c r="QVZ19" s="10"/>
      <c r="QWA19" s="10"/>
      <c r="QWB19" s="10"/>
      <c r="QWC19" s="10"/>
      <c r="QWD19" s="10"/>
      <c r="QWE19" s="10"/>
      <c r="QWF19" s="10"/>
      <c r="QWG19" s="10"/>
      <c r="QWH19" s="10"/>
      <c r="QWI19" s="10"/>
      <c r="QWJ19" s="10"/>
      <c r="QWK19" s="10"/>
      <c r="QWL19" s="10"/>
      <c r="QWM19" s="10"/>
      <c r="QWN19" s="10"/>
      <c r="QWO19" s="10"/>
      <c r="QWP19" s="10"/>
      <c r="QWQ19" s="10"/>
      <c r="QWR19" s="10"/>
      <c r="QWS19" s="10"/>
      <c r="QWT19" s="10"/>
      <c r="QWU19" s="10"/>
      <c r="QWV19" s="10"/>
      <c r="QWW19" s="10"/>
      <c r="QWX19" s="10"/>
      <c r="QWY19" s="10"/>
      <c r="QWZ19" s="10"/>
      <c r="QXA19" s="10"/>
      <c r="QXB19" s="10"/>
      <c r="QXC19" s="10"/>
      <c r="QXD19" s="10"/>
      <c r="QXE19" s="10"/>
      <c r="QXF19" s="10"/>
      <c r="QXG19" s="10"/>
      <c r="QXH19" s="10"/>
      <c r="QXI19" s="10"/>
      <c r="QXJ19" s="10"/>
      <c r="QXK19" s="10"/>
      <c r="QXL19" s="10"/>
      <c r="QXM19" s="10"/>
      <c r="QXN19" s="10"/>
      <c r="QXO19" s="10"/>
      <c r="QXP19" s="10"/>
      <c r="QXQ19" s="10"/>
      <c r="QXR19" s="10"/>
      <c r="QXS19" s="10"/>
      <c r="QXT19" s="10"/>
      <c r="QXU19" s="10"/>
      <c r="QXV19" s="10"/>
      <c r="QXW19" s="10"/>
      <c r="QXX19" s="10"/>
      <c r="QXY19" s="10"/>
      <c r="QXZ19" s="10"/>
      <c r="QYA19" s="10"/>
      <c r="QYB19" s="10"/>
      <c r="QYC19" s="10"/>
      <c r="QYD19" s="10"/>
      <c r="QYE19" s="10"/>
      <c r="QYF19" s="10"/>
      <c r="QYG19" s="10"/>
      <c r="QYH19" s="10"/>
      <c r="QYI19" s="10"/>
      <c r="QYJ19" s="10"/>
      <c r="QYK19" s="10"/>
      <c r="QYL19" s="10"/>
      <c r="QYM19" s="10"/>
      <c r="QYN19" s="10"/>
      <c r="QYO19" s="10"/>
      <c r="QYP19" s="10"/>
      <c r="QYQ19" s="10"/>
      <c r="QYR19" s="10"/>
      <c r="QYS19" s="10"/>
      <c r="QYT19" s="10"/>
      <c r="QYU19" s="10"/>
      <c r="QYV19" s="10"/>
      <c r="QYW19" s="10"/>
      <c r="QYX19" s="10"/>
      <c r="QYY19" s="10"/>
      <c r="QYZ19" s="10"/>
      <c r="QZA19" s="10"/>
      <c r="QZB19" s="10"/>
      <c r="QZC19" s="10"/>
      <c r="QZD19" s="10"/>
      <c r="QZE19" s="10"/>
      <c r="QZF19" s="10"/>
      <c r="QZG19" s="10"/>
      <c r="QZH19" s="10"/>
      <c r="QZI19" s="10"/>
      <c r="QZJ19" s="10"/>
      <c r="QZK19" s="10"/>
      <c r="QZL19" s="10"/>
      <c r="QZM19" s="10"/>
      <c r="QZN19" s="10"/>
      <c r="QZO19" s="10"/>
      <c r="QZP19" s="10"/>
      <c r="QZQ19" s="10"/>
      <c r="QZR19" s="10"/>
      <c r="QZS19" s="10"/>
      <c r="QZT19" s="10"/>
      <c r="QZU19" s="10"/>
      <c r="QZV19" s="10"/>
      <c r="QZW19" s="10"/>
      <c r="QZX19" s="10"/>
      <c r="QZY19" s="10"/>
      <c r="QZZ19" s="10"/>
      <c r="RAA19" s="10"/>
      <c r="RAB19" s="10"/>
      <c r="RAC19" s="10"/>
      <c r="RAD19" s="10"/>
      <c r="RAE19" s="10"/>
      <c r="RAF19" s="10"/>
      <c r="RAG19" s="10"/>
      <c r="RAH19" s="10"/>
      <c r="RAI19" s="10"/>
      <c r="RAJ19" s="10"/>
      <c r="RAK19" s="10"/>
      <c r="RAL19" s="10"/>
      <c r="RAM19" s="10"/>
      <c r="RAN19" s="10"/>
      <c r="RAO19" s="10"/>
      <c r="RAP19" s="10"/>
      <c r="RAQ19" s="10"/>
      <c r="RAR19" s="10"/>
      <c r="RAS19" s="10"/>
      <c r="RAT19" s="10"/>
      <c r="RAU19" s="10"/>
      <c r="RAV19" s="10"/>
      <c r="RAW19" s="10"/>
      <c r="RAX19" s="10"/>
      <c r="RAY19" s="10"/>
      <c r="RAZ19" s="10"/>
      <c r="RBA19" s="10"/>
      <c r="RBB19" s="10"/>
      <c r="RBC19" s="10"/>
      <c r="RBD19" s="10"/>
      <c r="RBE19" s="10"/>
      <c r="RBF19" s="10"/>
      <c r="RBG19" s="10"/>
      <c r="RBH19" s="10"/>
      <c r="RBI19" s="10"/>
      <c r="RBJ19" s="10"/>
      <c r="RBK19" s="10"/>
      <c r="RBL19" s="10"/>
      <c r="RBM19" s="10"/>
      <c r="RBN19" s="10"/>
      <c r="RBO19" s="10"/>
      <c r="RBP19" s="10"/>
      <c r="RBQ19" s="10"/>
      <c r="RBR19" s="10"/>
      <c r="RBS19" s="10"/>
      <c r="RBT19" s="10"/>
      <c r="RBU19" s="10"/>
      <c r="RBV19" s="10"/>
      <c r="RBW19" s="10"/>
      <c r="RBX19" s="10"/>
      <c r="RBY19" s="10"/>
      <c r="RBZ19" s="10"/>
      <c r="RCA19" s="10"/>
      <c r="RCB19" s="10"/>
      <c r="RCC19" s="10"/>
      <c r="RCD19" s="10"/>
      <c r="RCE19" s="10"/>
      <c r="RCF19" s="10"/>
      <c r="RCG19" s="10"/>
      <c r="RCH19" s="10"/>
      <c r="RCI19" s="10"/>
      <c r="RCJ19" s="10"/>
      <c r="RCK19" s="10"/>
      <c r="RCL19" s="10"/>
      <c r="RCM19" s="10"/>
      <c r="RCN19" s="10"/>
      <c r="RCO19" s="10"/>
      <c r="RCP19" s="10"/>
      <c r="RCQ19" s="10"/>
      <c r="RCR19" s="10"/>
      <c r="RCS19" s="10"/>
      <c r="RCT19" s="10"/>
      <c r="RCU19" s="10"/>
      <c r="RCV19" s="10"/>
      <c r="RCW19" s="10"/>
      <c r="RCX19" s="10"/>
      <c r="RCY19" s="10"/>
      <c r="RCZ19" s="10"/>
      <c r="RDA19" s="10"/>
      <c r="RDB19" s="10"/>
      <c r="RDC19" s="10"/>
      <c r="RDD19" s="10"/>
      <c r="RDE19" s="10"/>
      <c r="RDF19" s="10"/>
      <c r="RDG19" s="10"/>
      <c r="RDH19" s="10"/>
      <c r="RDI19" s="10"/>
      <c r="RDJ19" s="10"/>
      <c r="RDK19" s="10"/>
      <c r="RDL19" s="10"/>
      <c r="RDM19" s="10"/>
      <c r="RDN19" s="10"/>
      <c r="RDO19" s="10"/>
      <c r="RDP19" s="10"/>
      <c r="RDQ19" s="10"/>
      <c r="RDR19" s="10"/>
      <c r="RDS19" s="10"/>
      <c r="RDT19" s="10"/>
      <c r="RDU19" s="10"/>
      <c r="RDV19" s="10"/>
      <c r="RDW19" s="10"/>
      <c r="RDX19" s="10"/>
      <c r="RDY19" s="10"/>
      <c r="RDZ19" s="10"/>
      <c r="REA19" s="10"/>
      <c r="REB19" s="10"/>
      <c r="REC19" s="10"/>
      <c r="RED19" s="10"/>
      <c r="REE19" s="10"/>
      <c r="REF19" s="10"/>
      <c r="REG19" s="10"/>
      <c r="REH19" s="10"/>
      <c r="REI19" s="10"/>
      <c r="REJ19" s="10"/>
      <c r="REK19" s="10"/>
      <c r="REL19" s="10"/>
      <c r="REM19" s="10"/>
      <c r="REN19" s="10"/>
      <c r="REO19" s="10"/>
      <c r="REP19" s="10"/>
      <c r="REQ19" s="10"/>
      <c r="RER19" s="10"/>
      <c r="RES19" s="10"/>
      <c r="RET19" s="10"/>
      <c r="REU19" s="10"/>
      <c r="REV19" s="10"/>
      <c r="REW19" s="10"/>
      <c r="REX19" s="10"/>
      <c r="REY19" s="10"/>
      <c r="REZ19" s="10"/>
      <c r="RFA19" s="10"/>
      <c r="RFB19" s="10"/>
      <c r="RFC19" s="10"/>
      <c r="RFD19" s="10"/>
      <c r="RFE19" s="10"/>
      <c r="RFF19" s="10"/>
      <c r="RFG19" s="10"/>
      <c r="RFH19" s="10"/>
      <c r="RFI19" s="10"/>
      <c r="RFJ19" s="10"/>
      <c r="RFK19" s="10"/>
      <c r="RFL19" s="10"/>
      <c r="RFM19" s="10"/>
      <c r="RFN19" s="10"/>
      <c r="RFO19" s="10"/>
      <c r="RFP19" s="10"/>
      <c r="RFQ19" s="10"/>
      <c r="RFR19" s="10"/>
      <c r="RFS19" s="10"/>
      <c r="RFT19" s="10"/>
      <c r="RFU19" s="10"/>
      <c r="RFV19" s="10"/>
      <c r="RFW19" s="10"/>
      <c r="RFX19" s="10"/>
      <c r="RFY19" s="10"/>
      <c r="RFZ19" s="10"/>
      <c r="RGA19" s="10"/>
      <c r="RGB19" s="10"/>
      <c r="RGC19" s="10"/>
      <c r="RGD19" s="10"/>
      <c r="RGE19" s="10"/>
      <c r="RGF19" s="10"/>
      <c r="RGG19" s="10"/>
      <c r="RGH19" s="10"/>
      <c r="RGI19" s="10"/>
      <c r="RGJ19" s="10"/>
      <c r="RGK19" s="10"/>
      <c r="RGL19" s="10"/>
      <c r="RGM19" s="10"/>
      <c r="RGN19" s="10"/>
      <c r="RGO19" s="10"/>
      <c r="RGP19" s="10"/>
      <c r="RGQ19" s="10"/>
      <c r="RGR19" s="10"/>
      <c r="RGS19" s="10"/>
      <c r="RGT19" s="10"/>
      <c r="RGU19" s="10"/>
      <c r="RGV19" s="10"/>
      <c r="RGW19" s="10"/>
      <c r="RGX19" s="10"/>
      <c r="RGY19" s="10"/>
      <c r="RGZ19" s="10"/>
      <c r="RHA19" s="10"/>
      <c r="RHB19" s="10"/>
      <c r="RHC19" s="10"/>
      <c r="RHD19" s="10"/>
      <c r="RHE19" s="10"/>
      <c r="RHF19" s="10"/>
      <c r="RHG19" s="10"/>
      <c r="RHH19" s="10"/>
      <c r="RHI19" s="10"/>
      <c r="RHJ19" s="10"/>
      <c r="RHK19" s="10"/>
      <c r="RHL19" s="10"/>
      <c r="RHM19" s="10"/>
      <c r="RHN19" s="10"/>
      <c r="RHO19" s="10"/>
      <c r="RHP19" s="10"/>
      <c r="RHQ19" s="10"/>
      <c r="RHR19" s="10"/>
      <c r="RHS19" s="10"/>
      <c r="RHT19" s="10"/>
      <c r="RHU19" s="10"/>
      <c r="RHV19" s="10"/>
      <c r="RHW19" s="10"/>
      <c r="RHX19" s="10"/>
      <c r="RHY19" s="10"/>
      <c r="RHZ19" s="10"/>
      <c r="RIA19" s="10"/>
      <c r="RIB19" s="10"/>
      <c r="RIC19" s="10"/>
      <c r="RID19" s="10"/>
      <c r="RIE19" s="10"/>
      <c r="RIF19" s="10"/>
      <c r="RIG19" s="10"/>
      <c r="RIH19" s="10"/>
      <c r="RII19" s="10"/>
      <c r="RIJ19" s="10"/>
      <c r="RIK19" s="10"/>
      <c r="RIL19" s="10"/>
      <c r="RIM19" s="10"/>
      <c r="RIN19" s="10"/>
      <c r="RIO19" s="10"/>
      <c r="RIP19" s="10"/>
      <c r="RIQ19" s="10"/>
      <c r="RIR19" s="10"/>
      <c r="RIS19" s="10"/>
      <c r="RIT19" s="10"/>
      <c r="RIU19" s="10"/>
      <c r="RIV19" s="10"/>
      <c r="RIW19" s="10"/>
      <c r="RIX19" s="10"/>
      <c r="RIY19" s="10"/>
      <c r="RIZ19" s="10"/>
      <c r="RJA19" s="10"/>
      <c r="RJB19" s="10"/>
      <c r="RJC19" s="10"/>
      <c r="RJD19" s="10"/>
      <c r="RJE19" s="10"/>
      <c r="RJF19" s="10"/>
      <c r="RJG19" s="10"/>
      <c r="RJH19" s="10"/>
      <c r="RJI19" s="10"/>
      <c r="RJJ19" s="10"/>
      <c r="RJK19" s="10"/>
      <c r="RJL19" s="10"/>
      <c r="RJM19" s="10"/>
      <c r="RJN19" s="10"/>
      <c r="RJO19" s="10"/>
      <c r="RJP19" s="10"/>
      <c r="RJQ19" s="10"/>
      <c r="RJR19" s="10"/>
      <c r="RJS19" s="10"/>
      <c r="RJT19" s="10"/>
      <c r="RJU19" s="10"/>
      <c r="RJV19" s="10"/>
      <c r="RJW19" s="10"/>
      <c r="RJX19" s="10"/>
      <c r="RJY19" s="10"/>
      <c r="RJZ19" s="10"/>
      <c r="RKA19" s="10"/>
      <c r="RKB19" s="10"/>
      <c r="RKC19" s="10"/>
      <c r="RKD19" s="10"/>
      <c r="RKE19" s="10"/>
      <c r="RKF19" s="10"/>
      <c r="RKG19" s="10"/>
      <c r="RKH19" s="10"/>
      <c r="RKI19" s="10"/>
      <c r="RKJ19" s="10"/>
      <c r="RKK19" s="10"/>
      <c r="RKL19" s="10"/>
      <c r="RKM19" s="10"/>
      <c r="RKN19" s="10"/>
      <c r="RKO19" s="10"/>
      <c r="RKP19" s="10"/>
      <c r="RKQ19" s="10"/>
      <c r="RKR19" s="10"/>
      <c r="RKS19" s="10"/>
      <c r="RKT19" s="10"/>
      <c r="RKU19" s="10"/>
      <c r="RKV19" s="10"/>
      <c r="RKW19" s="10"/>
      <c r="RKX19" s="10"/>
      <c r="RKY19" s="10"/>
      <c r="RKZ19" s="10"/>
      <c r="RLA19" s="10"/>
      <c r="RLB19" s="10"/>
      <c r="RLC19" s="10"/>
      <c r="RLD19" s="10"/>
      <c r="RLE19" s="10"/>
      <c r="RLF19" s="10"/>
      <c r="RLG19" s="10"/>
      <c r="RLH19" s="10"/>
      <c r="RLI19" s="10"/>
      <c r="RLJ19" s="10"/>
      <c r="RLK19" s="10"/>
      <c r="RLL19" s="10"/>
      <c r="RLM19" s="10"/>
      <c r="RLN19" s="10"/>
      <c r="RLO19" s="10"/>
      <c r="RLP19" s="10"/>
      <c r="RLQ19" s="10"/>
      <c r="RLR19" s="10"/>
      <c r="RLS19" s="10"/>
      <c r="RLT19" s="10"/>
      <c r="RLU19" s="10"/>
      <c r="RLV19" s="10"/>
      <c r="RLW19" s="10"/>
      <c r="RLX19" s="10"/>
      <c r="RLY19" s="10"/>
      <c r="RLZ19" s="10"/>
      <c r="RMA19" s="10"/>
      <c r="RMB19" s="10"/>
      <c r="RMC19" s="10"/>
      <c r="RMD19" s="10"/>
      <c r="RME19" s="10"/>
      <c r="RMF19" s="10"/>
      <c r="RMG19" s="10"/>
      <c r="RMH19" s="10"/>
      <c r="RMI19" s="10"/>
      <c r="RMJ19" s="10"/>
      <c r="RMK19" s="10"/>
      <c r="RML19" s="10"/>
      <c r="RMM19" s="10"/>
      <c r="RMN19" s="10"/>
      <c r="RMO19" s="10"/>
      <c r="RMP19" s="10"/>
      <c r="RMQ19" s="10"/>
      <c r="RMR19" s="10"/>
      <c r="RMS19" s="10"/>
      <c r="RMT19" s="10"/>
      <c r="RMU19" s="10"/>
      <c r="RMV19" s="10"/>
      <c r="RMW19" s="10"/>
      <c r="RMX19" s="10"/>
      <c r="RMY19" s="10"/>
      <c r="RMZ19" s="10"/>
      <c r="RNA19" s="10"/>
      <c r="RNB19" s="10"/>
      <c r="RNC19" s="10"/>
      <c r="RND19" s="10"/>
      <c r="RNE19" s="10"/>
      <c r="RNF19" s="10"/>
      <c r="RNG19" s="10"/>
      <c r="RNH19" s="10"/>
      <c r="RNI19" s="10"/>
      <c r="RNJ19" s="10"/>
      <c r="RNK19" s="10"/>
      <c r="RNL19" s="10"/>
      <c r="RNM19" s="10"/>
      <c r="RNN19" s="10"/>
      <c r="RNO19" s="10"/>
      <c r="RNP19" s="10"/>
      <c r="RNQ19" s="10"/>
      <c r="RNR19" s="10"/>
      <c r="RNS19" s="10"/>
      <c r="RNT19" s="10"/>
      <c r="RNU19" s="10"/>
      <c r="RNV19" s="10"/>
      <c r="RNW19" s="10"/>
      <c r="RNX19" s="10"/>
      <c r="RNY19" s="10"/>
      <c r="RNZ19" s="10"/>
      <c r="ROA19" s="10"/>
      <c r="ROB19" s="10"/>
      <c r="ROC19" s="10"/>
      <c r="ROD19" s="10"/>
      <c r="ROE19" s="10"/>
      <c r="ROF19" s="10"/>
      <c r="ROG19" s="10"/>
      <c r="ROH19" s="10"/>
      <c r="ROI19" s="10"/>
      <c r="ROJ19" s="10"/>
      <c r="ROK19" s="10"/>
      <c r="ROL19" s="10"/>
      <c r="ROM19" s="10"/>
      <c r="RON19" s="10"/>
      <c r="ROO19" s="10"/>
      <c r="ROP19" s="10"/>
      <c r="ROQ19" s="10"/>
      <c r="ROR19" s="10"/>
      <c r="ROS19" s="10"/>
      <c r="ROT19" s="10"/>
      <c r="ROU19" s="10"/>
      <c r="ROV19" s="10"/>
      <c r="ROW19" s="10"/>
      <c r="ROX19" s="10"/>
      <c r="ROY19" s="10"/>
      <c r="ROZ19" s="10"/>
      <c r="RPA19" s="10"/>
      <c r="RPB19" s="10"/>
      <c r="RPC19" s="10"/>
      <c r="RPD19" s="10"/>
      <c r="RPE19" s="10"/>
      <c r="RPF19" s="10"/>
      <c r="RPG19" s="10"/>
      <c r="RPH19" s="10"/>
      <c r="RPI19" s="10"/>
      <c r="RPJ19" s="10"/>
      <c r="RPK19" s="10"/>
      <c r="RPL19" s="10"/>
      <c r="RPM19" s="10"/>
      <c r="RPN19" s="10"/>
      <c r="RPO19" s="10"/>
      <c r="RPP19" s="10"/>
      <c r="RPQ19" s="10"/>
      <c r="RPR19" s="10"/>
      <c r="RPS19" s="10"/>
      <c r="RPT19" s="10"/>
      <c r="RPU19" s="10"/>
      <c r="RPV19" s="10"/>
      <c r="RPW19" s="10"/>
      <c r="RPX19" s="10"/>
      <c r="RPY19" s="10"/>
      <c r="RPZ19" s="10"/>
      <c r="RQA19" s="10"/>
      <c r="RQB19" s="10"/>
      <c r="RQC19" s="10"/>
      <c r="RQD19" s="10"/>
      <c r="RQE19" s="10"/>
      <c r="RQF19" s="10"/>
      <c r="RQG19" s="10"/>
      <c r="RQH19" s="10"/>
      <c r="RQI19" s="10"/>
      <c r="RQJ19" s="10"/>
      <c r="RQK19" s="10"/>
      <c r="RQL19" s="10"/>
      <c r="RQM19" s="10"/>
      <c r="RQN19" s="10"/>
      <c r="RQO19" s="10"/>
      <c r="RQP19" s="10"/>
      <c r="RQQ19" s="10"/>
      <c r="RQR19" s="10"/>
      <c r="RQS19" s="10"/>
      <c r="RQT19" s="10"/>
      <c r="RQU19" s="10"/>
      <c r="RQV19" s="10"/>
      <c r="RQW19" s="10"/>
      <c r="RQX19" s="10"/>
      <c r="RQY19" s="10"/>
      <c r="RQZ19" s="10"/>
      <c r="RRA19" s="10"/>
      <c r="RRB19" s="10"/>
      <c r="RRC19" s="10"/>
      <c r="RRD19" s="10"/>
      <c r="RRE19" s="10"/>
      <c r="RRF19" s="10"/>
      <c r="RRG19" s="10"/>
      <c r="RRH19" s="10"/>
      <c r="RRI19" s="10"/>
      <c r="RRJ19" s="10"/>
      <c r="RRK19" s="10"/>
      <c r="RRL19" s="10"/>
      <c r="RRM19" s="10"/>
      <c r="RRN19" s="10"/>
      <c r="RRO19" s="10"/>
      <c r="RRP19" s="10"/>
      <c r="RRQ19" s="10"/>
      <c r="RRR19" s="10"/>
      <c r="RRS19" s="10"/>
      <c r="RRT19" s="10"/>
      <c r="RRU19" s="10"/>
      <c r="RRV19" s="10"/>
      <c r="RRW19" s="10"/>
      <c r="RRX19" s="10"/>
      <c r="RRY19" s="10"/>
      <c r="RRZ19" s="10"/>
      <c r="RSA19" s="10"/>
      <c r="RSB19" s="10"/>
      <c r="RSC19" s="10"/>
      <c r="RSD19" s="10"/>
      <c r="RSE19" s="10"/>
      <c r="RSF19" s="10"/>
      <c r="RSG19" s="10"/>
      <c r="RSH19" s="10"/>
      <c r="RSI19" s="10"/>
      <c r="RSJ19" s="10"/>
      <c r="RSK19" s="10"/>
      <c r="RSL19" s="10"/>
      <c r="RSM19" s="10"/>
      <c r="RSN19" s="10"/>
      <c r="RSO19" s="10"/>
      <c r="RSP19" s="10"/>
      <c r="RSQ19" s="10"/>
      <c r="RSR19" s="10"/>
      <c r="RSS19" s="10"/>
      <c r="RST19" s="10"/>
      <c r="RSU19" s="10"/>
      <c r="RSV19" s="10"/>
      <c r="RSW19" s="10"/>
      <c r="RSX19" s="10"/>
      <c r="RSY19" s="10"/>
      <c r="RSZ19" s="10"/>
      <c r="RTA19" s="10"/>
      <c r="RTB19" s="10"/>
      <c r="RTC19" s="10"/>
      <c r="RTD19" s="10"/>
      <c r="RTE19" s="10"/>
      <c r="RTF19" s="10"/>
      <c r="RTG19" s="10"/>
      <c r="RTH19" s="10"/>
      <c r="RTI19" s="10"/>
      <c r="RTJ19" s="10"/>
      <c r="RTK19" s="10"/>
      <c r="RTL19" s="10"/>
      <c r="RTM19" s="10"/>
      <c r="RTN19" s="10"/>
      <c r="RTO19" s="10"/>
      <c r="RTP19" s="10"/>
      <c r="RTQ19" s="10"/>
      <c r="RTR19" s="10"/>
      <c r="RTS19" s="10"/>
      <c r="RTT19" s="10"/>
      <c r="RTU19" s="10"/>
      <c r="RTV19" s="10"/>
      <c r="RTW19" s="10"/>
      <c r="RTX19" s="10"/>
      <c r="RTY19" s="10"/>
      <c r="RTZ19" s="10"/>
      <c r="RUA19" s="10"/>
      <c r="RUB19" s="10"/>
      <c r="RUC19" s="10"/>
      <c r="RUD19" s="10"/>
      <c r="RUE19" s="10"/>
      <c r="RUF19" s="10"/>
      <c r="RUG19" s="10"/>
      <c r="RUH19" s="10"/>
      <c r="RUI19" s="10"/>
      <c r="RUJ19" s="10"/>
      <c r="RUK19" s="10"/>
      <c r="RUL19" s="10"/>
      <c r="RUM19" s="10"/>
      <c r="RUN19" s="10"/>
      <c r="RUO19" s="10"/>
      <c r="RUP19" s="10"/>
      <c r="RUQ19" s="10"/>
      <c r="RUR19" s="10"/>
      <c r="RUS19" s="10"/>
      <c r="RUT19" s="10"/>
      <c r="RUU19" s="10"/>
      <c r="RUV19" s="10"/>
      <c r="RUW19" s="10"/>
      <c r="RUX19" s="10"/>
      <c r="RUY19" s="10"/>
      <c r="RUZ19" s="10"/>
      <c r="RVA19" s="10"/>
      <c r="RVB19" s="10"/>
      <c r="RVC19" s="10"/>
      <c r="RVD19" s="10"/>
      <c r="RVE19" s="10"/>
      <c r="RVF19" s="10"/>
      <c r="RVG19" s="10"/>
      <c r="RVH19" s="10"/>
      <c r="RVI19" s="10"/>
      <c r="RVJ19" s="10"/>
      <c r="RVK19" s="10"/>
      <c r="RVL19" s="10"/>
      <c r="RVM19" s="10"/>
      <c r="RVN19" s="10"/>
      <c r="RVO19" s="10"/>
      <c r="RVP19" s="10"/>
      <c r="RVQ19" s="10"/>
      <c r="RVR19" s="10"/>
      <c r="RVS19" s="10"/>
      <c r="RVT19" s="10"/>
      <c r="RVU19" s="10"/>
      <c r="RVV19" s="10"/>
      <c r="RVW19" s="10"/>
      <c r="RVX19" s="10"/>
      <c r="RVY19" s="10"/>
      <c r="RVZ19" s="10"/>
      <c r="RWA19" s="10"/>
      <c r="RWB19" s="10"/>
      <c r="RWC19" s="10"/>
      <c r="RWD19" s="10"/>
      <c r="RWE19" s="10"/>
      <c r="RWF19" s="10"/>
      <c r="RWG19" s="10"/>
      <c r="RWH19" s="10"/>
      <c r="RWI19" s="10"/>
      <c r="RWJ19" s="10"/>
      <c r="RWK19" s="10"/>
      <c r="RWL19" s="10"/>
      <c r="RWM19" s="10"/>
      <c r="RWN19" s="10"/>
      <c r="RWO19" s="10"/>
      <c r="RWP19" s="10"/>
      <c r="RWQ19" s="10"/>
      <c r="RWR19" s="10"/>
      <c r="RWS19" s="10"/>
      <c r="RWT19" s="10"/>
      <c r="RWU19" s="10"/>
      <c r="RWV19" s="10"/>
      <c r="RWW19" s="10"/>
      <c r="RWX19" s="10"/>
      <c r="RWY19" s="10"/>
      <c r="RWZ19" s="10"/>
      <c r="RXA19" s="10"/>
      <c r="RXB19" s="10"/>
      <c r="RXC19" s="10"/>
      <c r="RXD19" s="10"/>
      <c r="RXE19" s="10"/>
      <c r="RXF19" s="10"/>
      <c r="RXG19" s="10"/>
      <c r="RXH19" s="10"/>
      <c r="RXI19" s="10"/>
      <c r="RXJ19" s="10"/>
      <c r="RXK19" s="10"/>
      <c r="RXL19" s="10"/>
      <c r="RXM19" s="10"/>
      <c r="RXN19" s="10"/>
      <c r="RXO19" s="10"/>
      <c r="RXP19" s="10"/>
      <c r="RXQ19" s="10"/>
      <c r="RXR19" s="10"/>
      <c r="RXS19" s="10"/>
      <c r="RXT19" s="10"/>
      <c r="RXU19" s="10"/>
      <c r="RXV19" s="10"/>
      <c r="RXW19" s="10"/>
      <c r="RXX19" s="10"/>
      <c r="RXY19" s="10"/>
      <c r="RXZ19" s="10"/>
      <c r="RYA19" s="10"/>
      <c r="RYB19" s="10"/>
      <c r="RYC19" s="10"/>
      <c r="RYD19" s="10"/>
      <c r="RYE19" s="10"/>
      <c r="RYF19" s="10"/>
      <c r="RYG19" s="10"/>
      <c r="RYH19" s="10"/>
      <c r="RYI19" s="10"/>
      <c r="RYJ19" s="10"/>
      <c r="RYK19" s="10"/>
      <c r="RYL19" s="10"/>
      <c r="RYM19" s="10"/>
      <c r="RYN19" s="10"/>
      <c r="RYO19" s="10"/>
      <c r="RYP19" s="10"/>
      <c r="RYQ19" s="10"/>
      <c r="RYR19" s="10"/>
      <c r="RYS19" s="10"/>
      <c r="RYT19" s="10"/>
      <c r="RYU19" s="10"/>
      <c r="RYV19" s="10"/>
      <c r="RYW19" s="10"/>
      <c r="RYX19" s="10"/>
      <c r="RYY19" s="10"/>
      <c r="RYZ19" s="10"/>
      <c r="RZA19" s="10"/>
      <c r="RZB19" s="10"/>
      <c r="RZC19" s="10"/>
      <c r="RZD19" s="10"/>
      <c r="RZE19" s="10"/>
      <c r="RZF19" s="10"/>
      <c r="RZG19" s="10"/>
      <c r="RZH19" s="10"/>
      <c r="RZI19" s="10"/>
      <c r="RZJ19" s="10"/>
      <c r="RZK19" s="10"/>
      <c r="RZL19" s="10"/>
      <c r="RZM19" s="10"/>
      <c r="RZN19" s="10"/>
      <c r="RZO19" s="10"/>
      <c r="RZP19" s="10"/>
      <c r="RZQ19" s="10"/>
      <c r="RZR19" s="10"/>
      <c r="RZS19" s="10"/>
      <c r="RZT19" s="10"/>
      <c r="RZU19" s="10"/>
      <c r="RZV19" s="10"/>
      <c r="RZW19" s="10"/>
      <c r="RZX19" s="10"/>
      <c r="RZY19" s="10"/>
      <c r="RZZ19" s="10"/>
      <c r="SAA19" s="10"/>
      <c r="SAB19" s="10"/>
      <c r="SAC19" s="10"/>
      <c r="SAD19" s="10"/>
      <c r="SAE19" s="10"/>
      <c r="SAF19" s="10"/>
      <c r="SAG19" s="10"/>
      <c r="SAH19" s="10"/>
      <c r="SAI19" s="10"/>
      <c r="SAJ19" s="10"/>
      <c r="SAK19" s="10"/>
      <c r="SAL19" s="10"/>
      <c r="SAM19" s="10"/>
      <c r="SAN19" s="10"/>
      <c r="SAO19" s="10"/>
      <c r="SAP19" s="10"/>
      <c r="SAQ19" s="10"/>
      <c r="SAR19" s="10"/>
      <c r="SAS19" s="10"/>
      <c r="SAT19" s="10"/>
      <c r="SAU19" s="10"/>
      <c r="SAV19" s="10"/>
      <c r="SAW19" s="10"/>
      <c r="SAX19" s="10"/>
      <c r="SAY19" s="10"/>
      <c r="SAZ19" s="10"/>
      <c r="SBA19" s="10"/>
      <c r="SBB19" s="10"/>
      <c r="SBC19" s="10"/>
      <c r="SBD19" s="10"/>
      <c r="SBE19" s="10"/>
      <c r="SBF19" s="10"/>
      <c r="SBG19" s="10"/>
      <c r="SBH19" s="10"/>
      <c r="SBI19" s="10"/>
      <c r="SBJ19" s="10"/>
      <c r="SBK19" s="10"/>
      <c r="SBL19" s="10"/>
      <c r="SBM19" s="10"/>
      <c r="SBN19" s="10"/>
      <c r="SBO19" s="10"/>
      <c r="SBP19" s="10"/>
      <c r="SBQ19" s="10"/>
      <c r="SBR19" s="10"/>
      <c r="SBS19" s="10"/>
      <c r="SBT19" s="10"/>
      <c r="SBU19" s="10"/>
      <c r="SBV19" s="10"/>
      <c r="SBW19" s="10"/>
      <c r="SBX19" s="10"/>
      <c r="SBY19" s="10"/>
      <c r="SBZ19" s="10"/>
      <c r="SCA19" s="10"/>
      <c r="SCB19" s="10"/>
      <c r="SCC19" s="10"/>
      <c r="SCD19" s="10"/>
      <c r="SCE19" s="10"/>
      <c r="SCF19" s="10"/>
      <c r="SCG19" s="10"/>
      <c r="SCH19" s="10"/>
      <c r="SCI19" s="10"/>
      <c r="SCJ19" s="10"/>
      <c r="SCK19" s="10"/>
      <c r="SCL19" s="10"/>
      <c r="SCM19" s="10"/>
      <c r="SCN19" s="10"/>
      <c r="SCO19" s="10"/>
      <c r="SCP19" s="10"/>
      <c r="SCQ19" s="10"/>
      <c r="SCR19" s="10"/>
      <c r="SCS19" s="10"/>
      <c r="SCT19" s="10"/>
      <c r="SCU19" s="10"/>
      <c r="SCV19" s="10"/>
      <c r="SCW19" s="10"/>
      <c r="SCX19" s="10"/>
      <c r="SCY19" s="10"/>
      <c r="SCZ19" s="10"/>
      <c r="SDA19" s="10"/>
      <c r="SDB19" s="10"/>
      <c r="SDC19" s="10"/>
      <c r="SDD19" s="10"/>
      <c r="SDE19" s="10"/>
      <c r="SDF19" s="10"/>
      <c r="SDG19" s="10"/>
      <c r="SDH19" s="10"/>
      <c r="SDI19" s="10"/>
      <c r="SDJ19" s="10"/>
      <c r="SDK19" s="10"/>
      <c r="SDL19" s="10"/>
      <c r="SDM19" s="10"/>
      <c r="SDN19" s="10"/>
      <c r="SDO19" s="10"/>
      <c r="SDP19" s="10"/>
      <c r="SDQ19" s="10"/>
      <c r="SDR19" s="10"/>
      <c r="SDS19" s="10"/>
      <c r="SDT19" s="10"/>
      <c r="SDU19" s="10"/>
      <c r="SDV19" s="10"/>
      <c r="SDW19" s="10"/>
      <c r="SDX19" s="10"/>
      <c r="SDY19" s="10"/>
      <c r="SDZ19" s="10"/>
      <c r="SEA19" s="10"/>
      <c r="SEB19" s="10"/>
      <c r="SEC19" s="10"/>
      <c r="SED19" s="10"/>
      <c r="SEE19" s="10"/>
      <c r="SEF19" s="10"/>
      <c r="SEG19" s="10"/>
      <c r="SEH19" s="10"/>
      <c r="SEI19" s="10"/>
      <c r="SEJ19" s="10"/>
      <c r="SEK19" s="10"/>
      <c r="SEL19" s="10"/>
      <c r="SEM19" s="10"/>
      <c r="SEN19" s="10"/>
      <c r="SEO19" s="10"/>
      <c r="SEP19" s="10"/>
      <c r="SEQ19" s="10"/>
      <c r="SER19" s="10"/>
      <c r="SES19" s="10"/>
      <c r="SET19" s="10"/>
      <c r="SEU19" s="10"/>
      <c r="SEV19" s="10"/>
      <c r="SEW19" s="10"/>
      <c r="SEX19" s="10"/>
      <c r="SEY19" s="10"/>
      <c r="SEZ19" s="10"/>
      <c r="SFA19" s="10"/>
      <c r="SFB19" s="10"/>
      <c r="SFC19" s="10"/>
      <c r="SFD19" s="10"/>
      <c r="SFE19" s="10"/>
      <c r="SFF19" s="10"/>
      <c r="SFG19" s="10"/>
      <c r="SFH19" s="10"/>
      <c r="SFI19" s="10"/>
      <c r="SFJ19" s="10"/>
      <c r="SFK19" s="10"/>
      <c r="SFL19" s="10"/>
      <c r="SFM19" s="10"/>
      <c r="SFN19" s="10"/>
      <c r="SFO19" s="10"/>
      <c r="SFP19" s="10"/>
      <c r="SFQ19" s="10"/>
      <c r="SFR19" s="10"/>
      <c r="SFS19" s="10"/>
      <c r="SFT19" s="10"/>
      <c r="SFU19" s="10"/>
      <c r="SFV19" s="10"/>
      <c r="SFW19" s="10"/>
      <c r="SFX19" s="10"/>
      <c r="SFY19" s="10"/>
      <c r="SFZ19" s="10"/>
      <c r="SGA19" s="10"/>
      <c r="SGB19" s="10"/>
      <c r="SGC19" s="10"/>
      <c r="SGD19" s="10"/>
      <c r="SGE19" s="10"/>
      <c r="SGF19" s="10"/>
      <c r="SGG19" s="10"/>
      <c r="SGH19" s="10"/>
      <c r="SGI19" s="10"/>
      <c r="SGJ19" s="10"/>
      <c r="SGK19" s="10"/>
      <c r="SGL19" s="10"/>
      <c r="SGM19" s="10"/>
      <c r="SGN19" s="10"/>
      <c r="SGO19" s="10"/>
      <c r="SGP19" s="10"/>
      <c r="SGQ19" s="10"/>
      <c r="SGR19" s="10"/>
      <c r="SGS19" s="10"/>
      <c r="SGT19" s="10"/>
      <c r="SGU19" s="10"/>
      <c r="SGV19" s="10"/>
      <c r="SGW19" s="10"/>
      <c r="SGX19" s="10"/>
      <c r="SGY19" s="10"/>
      <c r="SGZ19" s="10"/>
      <c r="SHA19" s="10"/>
      <c r="SHB19" s="10"/>
      <c r="SHC19" s="10"/>
      <c r="SHD19" s="10"/>
      <c r="SHE19" s="10"/>
      <c r="SHF19" s="10"/>
      <c r="SHG19" s="10"/>
      <c r="SHH19" s="10"/>
      <c r="SHI19" s="10"/>
      <c r="SHJ19" s="10"/>
      <c r="SHK19" s="10"/>
      <c r="SHL19" s="10"/>
      <c r="SHM19" s="10"/>
      <c r="SHN19" s="10"/>
      <c r="SHO19" s="10"/>
      <c r="SHP19" s="10"/>
      <c r="SHQ19" s="10"/>
      <c r="SHR19" s="10"/>
      <c r="SHS19" s="10"/>
      <c r="SHT19" s="10"/>
      <c r="SHU19" s="10"/>
      <c r="SHV19" s="10"/>
      <c r="SHW19" s="10"/>
      <c r="SHX19" s="10"/>
      <c r="SHY19" s="10"/>
      <c r="SHZ19" s="10"/>
      <c r="SIA19" s="10"/>
      <c r="SIB19" s="10"/>
      <c r="SIC19" s="10"/>
      <c r="SID19" s="10"/>
      <c r="SIE19" s="10"/>
      <c r="SIF19" s="10"/>
      <c r="SIG19" s="10"/>
      <c r="SIH19" s="10"/>
      <c r="SII19" s="10"/>
      <c r="SIJ19" s="10"/>
      <c r="SIK19" s="10"/>
      <c r="SIL19" s="10"/>
      <c r="SIM19" s="10"/>
      <c r="SIN19" s="10"/>
      <c r="SIO19" s="10"/>
      <c r="SIP19" s="10"/>
      <c r="SIQ19" s="10"/>
      <c r="SIR19" s="10"/>
      <c r="SIS19" s="10"/>
      <c r="SIT19" s="10"/>
      <c r="SIU19" s="10"/>
      <c r="SIV19" s="10"/>
      <c r="SIW19" s="10"/>
      <c r="SIX19" s="10"/>
      <c r="SIY19" s="10"/>
      <c r="SIZ19" s="10"/>
      <c r="SJA19" s="10"/>
      <c r="SJB19" s="10"/>
      <c r="SJC19" s="10"/>
      <c r="SJD19" s="10"/>
      <c r="SJE19" s="10"/>
      <c r="SJF19" s="10"/>
      <c r="SJG19" s="10"/>
      <c r="SJH19" s="10"/>
      <c r="SJI19" s="10"/>
      <c r="SJJ19" s="10"/>
      <c r="SJK19" s="10"/>
      <c r="SJL19" s="10"/>
      <c r="SJM19" s="10"/>
      <c r="SJN19" s="10"/>
      <c r="SJO19" s="10"/>
      <c r="SJP19" s="10"/>
      <c r="SJQ19" s="10"/>
      <c r="SJR19" s="10"/>
      <c r="SJS19" s="10"/>
      <c r="SJT19" s="10"/>
      <c r="SJU19" s="10"/>
      <c r="SJV19" s="10"/>
      <c r="SJW19" s="10"/>
      <c r="SJX19" s="10"/>
      <c r="SJY19" s="10"/>
      <c r="SJZ19" s="10"/>
      <c r="SKA19" s="10"/>
      <c r="SKB19" s="10"/>
      <c r="SKC19" s="10"/>
      <c r="SKD19" s="10"/>
      <c r="SKE19" s="10"/>
      <c r="SKF19" s="10"/>
      <c r="SKG19" s="10"/>
      <c r="SKH19" s="10"/>
      <c r="SKI19" s="10"/>
      <c r="SKJ19" s="10"/>
      <c r="SKK19" s="10"/>
      <c r="SKL19" s="10"/>
      <c r="SKM19" s="10"/>
      <c r="SKN19" s="10"/>
      <c r="SKO19" s="10"/>
      <c r="SKP19" s="10"/>
      <c r="SKQ19" s="10"/>
      <c r="SKR19" s="10"/>
      <c r="SKS19" s="10"/>
      <c r="SKT19" s="10"/>
      <c r="SKU19" s="10"/>
      <c r="SKV19" s="10"/>
      <c r="SKW19" s="10"/>
      <c r="SKX19" s="10"/>
      <c r="SKY19" s="10"/>
      <c r="SKZ19" s="10"/>
      <c r="SLA19" s="10"/>
      <c r="SLB19" s="10"/>
      <c r="SLC19" s="10"/>
      <c r="SLD19" s="10"/>
      <c r="SLE19" s="10"/>
      <c r="SLF19" s="10"/>
      <c r="SLG19" s="10"/>
      <c r="SLH19" s="10"/>
      <c r="SLI19" s="10"/>
      <c r="SLJ19" s="10"/>
      <c r="SLK19" s="10"/>
      <c r="SLL19" s="10"/>
      <c r="SLM19" s="10"/>
      <c r="SLN19" s="10"/>
      <c r="SLO19" s="10"/>
      <c r="SLP19" s="10"/>
      <c r="SLQ19" s="10"/>
      <c r="SLR19" s="10"/>
      <c r="SLS19" s="10"/>
      <c r="SLT19" s="10"/>
      <c r="SLU19" s="10"/>
      <c r="SLV19" s="10"/>
      <c r="SLW19" s="10"/>
      <c r="SLX19" s="10"/>
      <c r="SLY19" s="10"/>
      <c r="SLZ19" s="10"/>
      <c r="SMA19" s="10"/>
      <c r="SMB19" s="10"/>
      <c r="SMC19" s="10"/>
      <c r="SMD19" s="10"/>
      <c r="SME19" s="10"/>
      <c r="SMF19" s="10"/>
      <c r="SMG19" s="10"/>
      <c r="SMH19" s="10"/>
      <c r="SMI19" s="10"/>
      <c r="SMJ19" s="10"/>
      <c r="SMK19" s="10"/>
      <c r="SML19" s="10"/>
      <c r="SMM19" s="10"/>
      <c r="SMN19" s="10"/>
      <c r="SMO19" s="10"/>
      <c r="SMP19" s="10"/>
      <c r="SMQ19" s="10"/>
      <c r="SMR19" s="10"/>
      <c r="SMS19" s="10"/>
      <c r="SMT19" s="10"/>
      <c r="SMU19" s="10"/>
      <c r="SMV19" s="10"/>
      <c r="SMW19" s="10"/>
      <c r="SMX19" s="10"/>
      <c r="SMY19" s="10"/>
      <c r="SMZ19" s="10"/>
      <c r="SNA19" s="10"/>
      <c r="SNB19" s="10"/>
      <c r="SNC19" s="10"/>
      <c r="SND19" s="10"/>
      <c r="SNE19" s="10"/>
      <c r="SNF19" s="10"/>
      <c r="SNG19" s="10"/>
      <c r="SNH19" s="10"/>
      <c r="SNI19" s="10"/>
      <c r="SNJ19" s="10"/>
      <c r="SNK19" s="10"/>
      <c r="SNL19" s="10"/>
      <c r="SNM19" s="10"/>
      <c r="SNN19" s="10"/>
      <c r="SNO19" s="10"/>
      <c r="SNP19" s="10"/>
      <c r="SNQ19" s="10"/>
      <c r="SNR19" s="10"/>
      <c r="SNS19" s="10"/>
      <c r="SNT19" s="10"/>
      <c r="SNU19" s="10"/>
      <c r="SNV19" s="10"/>
      <c r="SNW19" s="10"/>
      <c r="SNX19" s="10"/>
      <c r="SNY19" s="10"/>
      <c r="SNZ19" s="10"/>
      <c r="SOA19" s="10"/>
      <c r="SOB19" s="10"/>
      <c r="SOC19" s="10"/>
      <c r="SOD19" s="10"/>
      <c r="SOE19" s="10"/>
      <c r="SOF19" s="10"/>
      <c r="SOG19" s="10"/>
      <c r="SOH19" s="10"/>
      <c r="SOI19" s="10"/>
      <c r="SOJ19" s="10"/>
      <c r="SOK19" s="10"/>
      <c r="SOL19" s="10"/>
      <c r="SOM19" s="10"/>
      <c r="SON19" s="10"/>
      <c r="SOO19" s="10"/>
      <c r="SOP19" s="10"/>
      <c r="SOQ19" s="10"/>
      <c r="SOR19" s="10"/>
      <c r="SOS19" s="10"/>
      <c r="SOT19" s="10"/>
      <c r="SOU19" s="10"/>
      <c r="SOV19" s="10"/>
      <c r="SOW19" s="10"/>
      <c r="SOX19" s="10"/>
      <c r="SOY19" s="10"/>
      <c r="SOZ19" s="10"/>
      <c r="SPA19" s="10"/>
      <c r="SPB19" s="10"/>
      <c r="SPC19" s="10"/>
      <c r="SPD19" s="10"/>
      <c r="SPE19" s="10"/>
      <c r="SPF19" s="10"/>
      <c r="SPG19" s="10"/>
      <c r="SPH19" s="10"/>
      <c r="SPI19" s="10"/>
      <c r="SPJ19" s="10"/>
      <c r="SPK19" s="10"/>
      <c r="SPL19" s="10"/>
      <c r="SPM19" s="10"/>
      <c r="SPN19" s="10"/>
      <c r="SPO19" s="10"/>
      <c r="SPP19" s="10"/>
      <c r="SPQ19" s="10"/>
      <c r="SPR19" s="10"/>
      <c r="SPS19" s="10"/>
      <c r="SPT19" s="10"/>
      <c r="SPU19" s="10"/>
      <c r="SPV19" s="10"/>
      <c r="SPW19" s="10"/>
      <c r="SPX19" s="10"/>
      <c r="SPY19" s="10"/>
      <c r="SPZ19" s="10"/>
      <c r="SQA19" s="10"/>
      <c r="SQB19" s="10"/>
      <c r="SQC19" s="10"/>
      <c r="SQD19" s="10"/>
      <c r="SQE19" s="10"/>
      <c r="SQF19" s="10"/>
      <c r="SQG19" s="10"/>
      <c r="SQH19" s="10"/>
      <c r="SQI19" s="10"/>
      <c r="SQJ19" s="10"/>
      <c r="SQK19" s="10"/>
      <c r="SQL19" s="10"/>
      <c r="SQM19" s="10"/>
      <c r="SQN19" s="10"/>
      <c r="SQO19" s="10"/>
      <c r="SQP19" s="10"/>
      <c r="SQQ19" s="10"/>
      <c r="SQR19" s="10"/>
      <c r="SQS19" s="10"/>
      <c r="SQT19" s="10"/>
      <c r="SQU19" s="10"/>
      <c r="SQV19" s="10"/>
      <c r="SQW19" s="10"/>
      <c r="SQX19" s="10"/>
      <c r="SQY19" s="10"/>
      <c r="SQZ19" s="10"/>
      <c r="SRA19" s="10"/>
      <c r="SRB19" s="10"/>
      <c r="SRC19" s="10"/>
      <c r="SRD19" s="10"/>
      <c r="SRE19" s="10"/>
      <c r="SRF19" s="10"/>
      <c r="SRG19" s="10"/>
      <c r="SRH19" s="10"/>
      <c r="SRI19" s="10"/>
      <c r="SRJ19" s="10"/>
      <c r="SRK19" s="10"/>
      <c r="SRL19" s="10"/>
      <c r="SRM19" s="10"/>
      <c r="SRN19" s="10"/>
      <c r="SRO19" s="10"/>
      <c r="SRP19" s="10"/>
      <c r="SRQ19" s="10"/>
      <c r="SRR19" s="10"/>
      <c r="SRS19" s="10"/>
      <c r="SRT19" s="10"/>
      <c r="SRU19" s="10"/>
      <c r="SRV19" s="10"/>
      <c r="SRW19" s="10"/>
      <c r="SRX19" s="10"/>
      <c r="SRY19" s="10"/>
      <c r="SRZ19" s="10"/>
      <c r="SSA19" s="10"/>
      <c r="SSB19" s="10"/>
      <c r="SSC19" s="10"/>
      <c r="SSD19" s="10"/>
      <c r="SSE19" s="10"/>
      <c r="SSF19" s="10"/>
      <c r="SSG19" s="10"/>
      <c r="SSH19" s="10"/>
      <c r="SSI19" s="10"/>
      <c r="SSJ19" s="10"/>
      <c r="SSK19" s="10"/>
      <c r="SSL19" s="10"/>
      <c r="SSM19" s="10"/>
      <c r="SSN19" s="10"/>
      <c r="SSO19" s="10"/>
      <c r="SSP19" s="10"/>
      <c r="SSQ19" s="10"/>
      <c r="SSR19" s="10"/>
      <c r="SSS19" s="10"/>
      <c r="SST19" s="10"/>
      <c r="SSU19" s="10"/>
      <c r="SSV19" s="10"/>
      <c r="SSW19" s="10"/>
      <c r="SSX19" s="10"/>
      <c r="SSY19" s="10"/>
      <c r="SSZ19" s="10"/>
      <c r="STA19" s="10"/>
      <c r="STB19" s="10"/>
      <c r="STC19" s="10"/>
      <c r="STD19" s="10"/>
      <c r="STE19" s="10"/>
      <c r="STF19" s="10"/>
      <c r="STG19" s="10"/>
      <c r="STH19" s="10"/>
      <c r="STI19" s="10"/>
      <c r="STJ19" s="10"/>
      <c r="STK19" s="10"/>
      <c r="STL19" s="10"/>
      <c r="STM19" s="10"/>
      <c r="STN19" s="10"/>
      <c r="STO19" s="10"/>
      <c r="STP19" s="10"/>
      <c r="STQ19" s="10"/>
      <c r="STR19" s="10"/>
      <c r="STS19" s="10"/>
      <c r="STT19" s="10"/>
      <c r="STU19" s="10"/>
      <c r="STV19" s="10"/>
      <c r="STW19" s="10"/>
      <c r="STX19" s="10"/>
      <c r="STY19" s="10"/>
      <c r="STZ19" s="10"/>
      <c r="SUA19" s="10"/>
      <c r="SUB19" s="10"/>
      <c r="SUC19" s="10"/>
      <c r="SUD19" s="10"/>
      <c r="SUE19" s="10"/>
      <c r="SUF19" s="10"/>
      <c r="SUG19" s="10"/>
      <c r="SUH19" s="10"/>
      <c r="SUI19" s="10"/>
      <c r="SUJ19" s="10"/>
      <c r="SUK19" s="10"/>
      <c r="SUL19" s="10"/>
      <c r="SUM19" s="10"/>
      <c r="SUN19" s="10"/>
      <c r="SUO19" s="10"/>
      <c r="SUP19" s="10"/>
      <c r="SUQ19" s="10"/>
      <c r="SUR19" s="10"/>
      <c r="SUS19" s="10"/>
      <c r="SUT19" s="10"/>
      <c r="SUU19" s="10"/>
      <c r="SUV19" s="10"/>
      <c r="SUW19" s="10"/>
      <c r="SUX19" s="10"/>
      <c r="SUY19" s="10"/>
      <c r="SUZ19" s="10"/>
      <c r="SVA19" s="10"/>
      <c r="SVB19" s="10"/>
      <c r="SVC19" s="10"/>
      <c r="SVD19" s="10"/>
      <c r="SVE19" s="10"/>
      <c r="SVF19" s="10"/>
      <c r="SVG19" s="10"/>
      <c r="SVH19" s="10"/>
      <c r="SVI19" s="10"/>
      <c r="SVJ19" s="10"/>
      <c r="SVK19" s="10"/>
      <c r="SVL19" s="10"/>
      <c r="SVM19" s="10"/>
      <c r="SVN19" s="10"/>
      <c r="SVO19" s="10"/>
      <c r="SVP19" s="10"/>
      <c r="SVQ19" s="10"/>
      <c r="SVR19" s="10"/>
      <c r="SVS19" s="10"/>
      <c r="SVT19" s="10"/>
      <c r="SVU19" s="10"/>
      <c r="SVV19" s="10"/>
      <c r="SVW19" s="10"/>
      <c r="SVX19" s="10"/>
      <c r="SVY19" s="10"/>
      <c r="SVZ19" s="10"/>
      <c r="SWA19" s="10"/>
      <c r="SWB19" s="10"/>
      <c r="SWC19" s="10"/>
      <c r="SWD19" s="10"/>
      <c r="SWE19" s="10"/>
      <c r="SWF19" s="10"/>
      <c r="SWG19" s="10"/>
      <c r="SWH19" s="10"/>
      <c r="SWI19" s="10"/>
      <c r="SWJ19" s="10"/>
      <c r="SWK19" s="10"/>
      <c r="SWL19" s="10"/>
      <c r="SWM19" s="10"/>
      <c r="SWN19" s="10"/>
      <c r="SWO19" s="10"/>
      <c r="SWP19" s="10"/>
      <c r="SWQ19" s="10"/>
      <c r="SWR19" s="10"/>
      <c r="SWS19" s="10"/>
      <c r="SWT19" s="10"/>
      <c r="SWU19" s="10"/>
      <c r="SWV19" s="10"/>
      <c r="SWW19" s="10"/>
      <c r="SWX19" s="10"/>
      <c r="SWY19" s="10"/>
      <c r="SWZ19" s="10"/>
      <c r="SXA19" s="10"/>
      <c r="SXB19" s="10"/>
      <c r="SXC19" s="10"/>
      <c r="SXD19" s="10"/>
      <c r="SXE19" s="10"/>
      <c r="SXF19" s="10"/>
      <c r="SXG19" s="10"/>
      <c r="SXH19" s="10"/>
      <c r="SXI19" s="10"/>
      <c r="SXJ19" s="10"/>
      <c r="SXK19" s="10"/>
      <c r="SXL19" s="10"/>
      <c r="SXM19" s="10"/>
      <c r="SXN19" s="10"/>
      <c r="SXO19" s="10"/>
      <c r="SXP19" s="10"/>
      <c r="SXQ19" s="10"/>
      <c r="SXR19" s="10"/>
      <c r="SXS19" s="10"/>
      <c r="SXT19" s="10"/>
      <c r="SXU19" s="10"/>
      <c r="SXV19" s="10"/>
      <c r="SXW19" s="10"/>
      <c r="SXX19" s="10"/>
      <c r="SXY19" s="10"/>
      <c r="SXZ19" s="10"/>
      <c r="SYA19" s="10"/>
      <c r="SYB19" s="10"/>
      <c r="SYC19" s="10"/>
      <c r="SYD19" s="10"/>
      <c r="SYE19" s="10"/>
      <c r="SYF19" s="10"/>
      <c r="SYG19" s="10"/>
      <c r="SYH19" s="10"/>
      <c r="SYI19" s="10"/>
      <c r="SYJ19" s="10"/>
      <c r="SYK19" s="10"/>
      <c r="SYL19" s="10"/>
      <c r="SYM19" s="10"/>
      <c r="SYN19" s="10"/>
      <c r="SYO19" s="10"/>
      <c r="SYP19" s="10"/>
      <c r="SYQ19" s="10"/>
      <c r="SYR19" s="10"/>
      <c r="SYS19" s="10"/>
      <c r="SYT19" s="10"/>
      <c r="SYU19" s="10"/>
      <c r="SYV19" s="10"/>
      <c r="SYW19" s="10"/>
      <c r="SYX19" s="10"/>
      <c r="SYY19" s="10"/>
      <c r="SYZ19" s="10"/>
      <c r="SZA19" s="10"/>
      <c r="SZB19" s="10"/>
      <c r="SZC19" s="10"/>
      <c r="SZD19" s="10"/>
      <c r="SZE19" s="10"/>
      <c r="SZF19" s="10"/>
      <c r="SZG19" s="10"/>
      <c r="SZH19" s="10"/>
      <c r="SZI19" s="10"/>
      <c r="SZJ19" s="10"/>
      <c r="SZK19" s="10"/>
      <c r="SZL19" s="10"/>
      <c r="SZM19" s="10"/>
      <c r="SZN19" s="10"/>
      <c r="SZO19" s="10"/>
      <c r="SZP19" s="10"/>
      <c r="SZQ19" s="10"/>
      <c r="SZR19" s="10"/>
      <c r="SZS19" s="10"/>
      <c r="SZT19" s="10"/>
      <c r="SZU19" s="10"/>
      <c r="SZV19" s="10"/>
      <c r="SZW19" s="10"/>
      <c r="SZX19" s="10"/>
      <c r="SZY19" s="10"/>
      <c r="SZZ19" s="10"/>
      <c r="TAA19" s="10"/>
      <c r="TAB19" s="10"/>
      <c r="TAC19" s="10"/>
      <c r="TAD19" s="10"/>
      <c r="TAE19" s="10"/>
      <c r="TAF19" s="10"/>
      <c r="TAG19" s="10"/>
      <c r="TAH19" s="10"/>
      <c r="TAI19" s="10"/>
      <c r="TAJ19" s="10"/>
      <c r="TAK19" s="10"/>
      <c r="TAL19" s="10"/>
      <c r="TAM19" s="10"/>
      <c r="TAN19" s="10"/>
      <c r="TAO19" s="10"/>
      <c r="TAP19" s="10"/>
      <c r="TAQ19" s="10"/>
      <c r="TAR19" s="10"/>
      <c r="TAS19" s="10"/>
      <c r="TAT19" s="10"/>
      <c r="TAU19" s="10"/>
      <c r="TAV19" s="10"/>
      <c r="TAW19" s="10"/>
      <c r="TAX19" s="10"/>
      <c r="TAY19" s="10"/>
      <c r="TAZ19" s="10"/>
      <c r="TBA19" s="10"/>
      <c r="TBB19" s="10"/>
      <c r="TBC19" s="10"/>
      <c r="TBD19" s="10"/>
      <c r="TBE19" s="10"/>
      <c r="TBF19" s="10"/>
      <c r="TBG19" s="10"/>
      <c r="TBH19" s="10"/>
      <c r="TBI19" s="10"/>
      <c r="TBJ19" s="10"/>
      <c r="TBK19" s="10"/>
      <c r="TBL19" s="10"/>
      <c r="TBM19" s="10"/>
      <c r="TBN19" s="10"/>
      <c r="TBO19" s="10"/>
      <c r="TBP19" s="10"/>
      <c r="TBQ19" s="10"/>
      <c r="TBR19" s="10"/>
      <c r="TBS19" s="10"/>
      <c r="TBT19" s="10"/>
      <c r="TBU19" s="10"/>
      <c r="TBV19" s="10"/>
      <c r="TBW19" s="10"/>
      <c r="TBX19" s="10"/>
      <c r="TBY19" s="10"/>
      <c r="TBZ19" s="10"/>
      <c r="TCA19" s="10"/>
      <c r="TCB19" s="10"/>
      <c r="TCC19" s="10"/>
      <c r="TCD19" s="10"/>
      <c r="TCE19" s="10"/>
      <c r="TCF19" s="10"/>
      <c r="TCG19" s="10"/>
      <c r="TCH19" s="10"/>
      <c r="TCI19" s="10"/>
      <c r="TCJ19" s="10"/>
      <c r="TCK19" s="10"/>
      <c r="TCL19" s="10"/>
      <c r="TCM19" s="10"/>
      <c r="TCN19" s="10"/>
      <c r="TCO19" s="10"/>
      <c r="TCP19" s="10"/>
      <c r="TCQ19" s="10"/>
      <c r="TCR19" s="10"/>
      <c r="TCS19" s="10"/>
      <c r="TCT19" s="10"/>
      <c r="TCU19" s="10"/>
      <c r="TCV19" s="10"/>
      <c r="TCW19" s="10"/>
      <c r="TCX19" s="10"/>
      <c r="TCY19" s="10"/>
      <c r="TCZ19" s="10"/>
      <c r="TDA19" s="10"/>
      <c r="TDB19" s="10"/>
      <c r="TDC19" s="10"/>
      <c r="TDD19" s="10"/>
      <c r="TDE19" s="10"/>
      <c r="TDF19" s="10"/>
      <c r="TDG19" s="10"/>
      <c r="TDH19" s="10"/>
      <c r="TDI19" s="10"/>
      <c r="TDJ19" s="10"/>
      <c r="TDK19" s="10"/>
      <c r="TDL19" s="10"/>
      <c r="TDM19" s="10"/>
      <c r="TDN19" s="10"/>
      <c r="TDO19" s="10"/>
      <c r="TDP19" s="10"/>
      <c r="TDQ19" s="10"/>
      <c r="TDR19" s="10"/>
      <c r="TDS19" s="10"/>
      <c r="TDT19" s="10"/>
      <c r="TDU19" s="10"/>
      <c r="TDV19" s="10"/>
      <c r="TDW19" s="10"/>
      <c r="TDX19" s="10"/>
      <c r="TDY19" s="10"/>
      <c r="TDZ19" s="10"/>
      <c r="TEA19" s="10"/>
      <c r="TEB19" s="10"/>
      <c r="TEC19" s="10"/>
      <c r="TED19" s="10"/>
      <c r="TEE19" s="10"/>
      <c r="TEF19" s="10"/>
      <c r="TEG19" s="10"/>
      <c r="TEH19" s="10"/>
      <c r="TEI19" s="10"/>
      <c r="TEJ19" s="10"/>
      <c r="TEK19" s="10"/>
      <c r="TEL19" s="10"/>
      <c r="TEM19" s="10"/>
      <c r="TEN19" s="10"/>
      <c r="TEO19" s="10"/>
      <c r="TEP19" s="10"/>
      <c r="TEQ19" s="10"/>
      <c r="TER19" s="10"/>
      <c r="TES19" s="10"/>
      <c r="TET19" s="10"/>
      <c r="TEU19" s="10"/>
      <c r="TEV19" s="10"/>
      <c r="TEW19" s="10"/>
      <c r="TEX19" s="10"/>
      <c r="TEY19" s="10"/>
      <c r="TEZ19" s="10"/>
      <c r="TFA19" s="10"/>
      <c r="TFB19" s="10"/>
      <c r="TFC19" s="10"/>
      <c r="TFD19" s="10"/>
      <c r="TFE19" s="10"/>
      <c r="TFF19" s="10"/>
      <c r="TFG19" s="10"/>
      <c r="TFH19" s="10"/>
      <c r="TFI19" s="10"/>
      <c r="TFJ19" s="10"/>
      <c r="TFK19" s="10"/>
      <c r="TFL19" s="10"/>
      <c r="TFM19" s="10"/>
      <c r="TFN19" s="10"/>
      <c r="TFO19" s="10"/>
      <c r="TFP19" s="10"/>
      <c r="TFQ19" s="10"/>
      <c r="TFR19" s="10"/>
      <c r="TFS19" s="10"/>
      <c r="TFT19" s="10"/>
      <c r="TFU19" s="10"/>
      <c r="TFV19" s="10"/>
      <c r="TFW19" s="10"/>
      <c r="TFX19" s="10"/>
      <c r="TFY19" s="10"/>
      <c r="TFZ19" s="10"/>
      <c r="TGA19" s="10"/>
      <c r="TGB19" s="10"/>
      <c r="TGC19" s="10"/>
      <c r="TGD19" s="10"/>
      <c r="TGE19" s="10"/>
      <c r="TGF19" s="10"/>
      <c r="TGG19" s="10"/>
      <c r="TGH19" s="10"/>
      <c r="TGI19" s="10"/>
      <c r="TGJ19" s="10"/>
      <c r="TGK19" s="10"/>
      <c r="TGL19" s="10"/>
      <c r="TGM19" s="10"/>
      <c r="TGN19" s="10"/>
      <c r="TGO19" s="10"/>
      <c r="TGP19" s="10"/>
      <c r="TGQ19" s="10"/>
      <c r="TGR19" s="10"/>
      <c r="TGS19" s="10"/>
      <c r="TGT19" s="10"/>
      <c r="TGU19" s="10"/>
      <c r="TGV19" s="10"/>
      <c r="TGW19" s="10"/>
      <c r="TGX19" s="10"/>
      <c r="TGY19" s="10"/>
      <c r="TGZ19" s="10"/>
      <c r="THA19" s="10"/>
      <c r="THB19" s="10"/>
      <c r="THC19" s="10"/>
      <c r="THD19" s="10"/>
      <c r="THE19" s="10"/>
      <c r="THF19" s="10"/>
      <c r="THG19" s="10"/>
      <c r="THH19" s="10"/>
      <c r="THI19" s="10"/>
      <c r="THJ19" s="10"/>
      <c r="THK19" s="10"/>
      <c r="THL19" s="10"/>
      <c r="THM19" s="10"/>
      <c r="THN19" s="10"/>
      <c r="THO19" s="10"/>
      <c r="THP19" s="10"/>
      <c r="THQ19" s="10"/>
      <c r="THR19" s="10"/>
      <c r="THS19" s="10"/>
      <c r="THT19" s="10"/>
      <c r="THU19" s="10"/>
      <c r="THV19" s="10"/>
      <c r="THW19" s="10"/>
      <c r="THX19" s="10"/>
      <c r="THY19" s="10"/>
      <c r="THZ19" s="10"/>
      <c r="TIA19" s="10"/>
      <c r="TIB19" s="10"/>
      <c r="TIC19" s="10"/>
      <c r="TID19" s="10"/>
      <c r="TIE19" s="10"/>
      <c r="TIF19" s="10"/>
      <c r="TIG19" s="10"/>
      <c r="TIH19" s="10"/>
      <c r="TII19" s="10"/>
      <c r="TIJ19" s="10"/>
      <c r="TIK19" s="10"/>
      <c r="TIL19" s="10"/>
      <c r="TIM19" s="10"/>
      <c r="TIN19" s="10"/>
      <c r="TIO19" s="10"/>
      <c r="TIP19" s="10"/>
      <c r="TIQ19" s="10"/>
      <c r="TIR19" s="10"/>
      <c r="TIS19" s="10"/>
      <c r="TIT19" s="10"/>
      <c r="TIU19" s="10"/>
      <c r="TIV19" s="10"/>
      <c r="TIW19" s="10"/>
      <c r="TIX19" s="10"/>
      <c r="TIY19" s="10"/>
      <c r="TIZ19" s="10"/>
      <c r="TJA19" s="10"/>
      <c r="TJB19" s="10"/>
      <c r="TJC19" s="10"/>
      <c r="TJD19" s="10"/>
      <c r="TJE19" s="10"/>
      <c r="TJF19" s="10"/>
      <c r="TJG19" s="10"/>
      <c r="TJH19" s="10"/>
      <c r="TJI19" s="10"/>
      <c r="TJJ19" s="10"/>
      <c r="TJK19" s="10"/>
      <c r="TJL19" s="10"/>
      <c r="TJM19" s="10"/>
      <c r="TJN19" s="10"/>
      <c r="TJO19" s="10"/>
      <c r="TJP19" s="10"/>
      <c r="TJQ19" s="10"/>
      <c r="TJR19" s="10"/>
      <c r="TJS19" s="10"/>
      <c r="TJT19" s="10"/>
      <c r="TJU19" s="10"/>
      <c r="TJV19" s="10"/>
      <c r="TJW19" s="10"/>
      <c r="TJX19" s="10"/>
      <c r="TJY19" s="10"/>
      <c r="TJZ19" s="10"/>
      <c r="TKA19" s="10"/>
      <c r="TKB19" s="10"/>
      <c r="TKC19" s="10"/>
      <c r="TKD19" s="10"/>
      <c r="TKE19" s="10"/>
      <c r="TKF19" s="10"/>
      <c r="TKG19" s="10"/>
      <c r="TKH19" s="10"/>
      <c r="TKI19" s="10"/>
      <c r="TKJ19" s="10"/>
      <c r="TKK19" s="10"/>
      <c r="TKL19" s="10"/>
      <c r="TKM19" s="10"/>
      <c r="TKN19" s="10"/>
      <c r="TKO19" s="10"/>
      <c r="TKP19" s="10"/>
      <c r="TKQ19" s="10"/>
      <c r="TKR19" s="10"/>
      <c r="TKS19" s="10"/>
      <c r="TKT19" s="10"/>
      <c r="TKU19" s="10"/>
      <c r="TKV19" s="10"/>
      <c r="TKW19" s="10"/>
      <c r="TKX19" s="10"/>
      <c r="TKY19" s="10"/>
      <c r="TKZ19" s="10"/>
      <c r="TLA19" s="10"/>
      <c r="TLB19" s="10"/>
      <c r="TLC19" s="10"/>
      <c r="TLD19" s="10"/>
      <c r="TLE19" s="10"/>
      <c r="TLF19" s="10"/>
      <c r="TLG19" s="10"/>
      <c r="TLH19" s="10"/>
      <c r="TLI19" s="10"/>
      <c r="TLJ19" s="10"/>
      <c r="TLK19" s="10"/>
      <c r="TLL19" s="10"/>
      <c r="TLM19" s="10"/>
      <c r="TLN19" s="10"/>
      <c r="TLO19" s="10"/>
      <c r="TLP19" s="10"/>
      <c r="TLQ19" s="10"/>
      <c r="TLR19" s="10"/>
      <c r="TLS19" s="10"/>
      <c r="TLT19" s="10"/>
      <c r="TLU19" s="10"/>
      <c r="TLV19" s="10"/>
      <c r="TLW19" s="10"/>
      <c r="TLX19" s="10"/>
      <c r="TLY19" s="10"/>
      <c r="TLZ19" s="10"/>
      <c r="TMA19" s="10"/>
      <c r="TMB19" s="10"/>
      <c r="TMC19" s="10"/>
      <c r="TMD19" s="10"/>
      <c r="TME19" s="10"/>
      <c r="TMF19" s="10"/>
      <c r="TMG19" s="10"/>
      <c r="TMH19" s="10"/>
      <c r="TMI19" s="10"/>
      <c r="TMJ19" s="10"/>
      <c r="TMK19" s="10"/>
      <c r="TML19" s="10"/>
      <c r="TMM19" s="10"/>
      <c r="TMN19" s="10"/>
      <c r="TMO19" s="10"/>
      <c r="TMP19" s="10"/>
      <c r="TMQ19" s="10"/>
      <c r="TMR19" s="10"/>
      <c r="TMS19" s="10"/>
      <c r="TMT19" s="10"/>
      <c r="TMU19" s="10"/>
      <c r="TMV19" s="10"/>
      <c r="TMW19" s="10"/>
      <c r="TMX19" s="10"/>
      <c r="TMY19" s="10"/>
      <c r="TMZ19" s="10"/>
      <c r="TNA19" s="10"/>
      <c r="TNB19" s="10"/>
      <c r="TNC19" s="10"/>
      <c r="TND19" s="10"/>
      <c r="TNE19" s="10"/>
      <c r="TNF19" s="10"/>
      <c r="TNG19" s="10"/>
      <c r="TNH19" s="10"/>
      <c r="TNI19" s="10"/>
      <c r="TNJ19" s="10"/>
      <c r="TNK19" s="10"/>
      <c r="TNL19" s="10"/>
      <c r="TNM19" s="10"/>
      <c r="TNN19" s="10"/>
      <c r="TNO19" s="10"/>
      <c r="TNP19" s="10"/>
      <c r="TNQ19" s="10"/>
      <c r="TNR19" s="10"/>
      <c r="TNS19" s="10"/>
      <c r="TNT19" s="10"/>
      <c r="TNU19" s="10"/>
      <c r="TNV19" s="10"/>
      <c r="TNW19" s="10"/>
      <c r="TNX19" s="10"/>
      <c r="TNY19" s="10"/>
      <c r="TNZ19" s="10"/>
      <c r="TOA19" s="10"/>
      <c r="TOB19" s="10"/>
      <c r="TOC19" s="10"/>
      <c r="TOD19" s="10"/>
      <c r="TOE19" s="10"/>
      <c r="TOF19" s="10"/>
      <c r="TOG19" s="10"/>
      <c r="TOH19" s="10"/>
      <c r="TOI19" s="10"/>
      <c r="TOJ19" s="10"/>
      <c r="TOK19" s="10"/>
      <c r="TOL19" s="10"/>
      <c r="TOM19" s="10"/>
      <c r="TON19" s="10"/>
      <c r="TOO19" s="10"/>
      <c r="TOP19" s="10"/>
      <c r="TOQ19" s="10"/>
      <c r="TOR19" s="10"/>
      <c r="TOS19" s="10"/>
      <c r="TOT19" s="10"/>
      <c r="TOU19" s="10"/>
      <c r="TOV19" s="10"/>
      <c r="TOW19" s="10"/>
      <c r="TOX19" s="10"/>
      <c r="TOY19" s="10"/>
      <c r="TOZ19" s="10"/>
      <c r="TPA19" s="10"/>
      <c r="TPB19" s="10"/>
      <c r="TPC19" s="10"/>
      <c r="TPD19" s="10"/>
      <c r="TPE19" s="10"/>
      <c r="TPF19" s="10"/>
      <c r="TPG19" s="10"/>
      <c r="TPH19" s="10"/>
      <c r="TPI19" s="10"/>
      <c r="TPJ19" s="10"/>
      <c r="TPK19" s="10"/>
      <c r="TPL19" s="10"/>
      <c r="TPM19" s="10"/>
      <c r="TPN19" s="10"/>
      <c r="TPO19" s="10"/>
      <c r="TPP19" s="10"/>
      <c r="TPQ19" s="10"/>
      <c r="TPR19" s="10"/>
      <c r="TPS19" s="10"/>
      <c r="TPT19" s="10"/>
      <c r="TPU19" s="10"/>
      <c r="TPV19" s="10"/>
      <c r="TPW19" s="10"/>
      <c r="TPX19" s="10"/>
      <c r="TPY19" s="10"/>
      <c r="TPZ19" s="10"/>
      <c r="TQA19" s="10"/>
      <c r="TQB19" s="10"/>
      <c r="TQC19" s="10"/>
      <c r="TQD19" s="10"/>
      <c r="TQE19" s="10"/>
      <c r="TQF19" s="10"/>
      <c r="TQG19" s="10"/>
      <c r="TQH19" s="10"/>
      <c r="TQI19" s="10"/>
      <c r="TQJ19" s="10"/>
      <c r="TQK19" s="10"/>
      <c r="TQL19" s="10"/>
      <c r="TQM19" s="10"/>
      <c r="TQN19" s="10"/>
      <c r="TQO19" s="10"/>
      <c r="TQP19" s="10"/>
      <c r="TQQ19" s="10"/>
      <c r="TQR19" s="10"/>
      <c r="TQS19" s="10"/>
      <c r="TQT19" s="10"/>
      <c r="TQU19" s="10"/>
      <c r="TQV19" s="10"/>
      <c r="TQW19" s="10"/>
      <c r="TQX19" s="10"/>
      <c r="TQY19" s="10"/>
      <c r="TQZ19" s="10"/>
      <c r="TRA19" s="10"/>
      <c r="TRB19" s="10"/>
      <c r="TRC19" s="10"/>
      <c r="TRD19" s="10"/>
      <c r="TRE19" s="10"/>
      <c r="TRF19" s="10"/>
      <c r="TRG19" s="10"/>
      <c r="TRH19" s="10"/>
      <c r="TRI19" s="10"/>
      <c r="TRJ19" s="10"/>
      <c r="TRK19" s="10"/>
      <c r="TRL19" s="10"/>
      <c r="TRM19" s="10"/>
      <c r="TRN19" s="10"/>
      <c r="TRO19" s="10"/>
      <c r="TRP19" s="10"/>
      <c r="TRQ19" s="10"/>
      <c r="TRR19" s="10"/>
      <c r="TRS19" s="10"/>
      <c r="TRT19" s="10"/>
      <c r="TRU19" s="10"/>
      <c r="TRV19" s="10"/>
      <c r="TRW19" s="10"/>
      <c r="TRX19" s="10"/>
      <c r="TRY19" s="10"/>
      <c r="TRZ19" s="10"/>
      <c r="TSA19" s="10"/>
      <c r="TSB19" s="10"/>
      <c r="TSC19" s="10"/>
      <c r="TSD19" s="10"/>
      <c r="TSE19" s="10"/>
      <c r="TSF19" s="10"/>
      <c r="TSG19" s="10"/>
      <c r="TSH19" s="10"/>
      <c r="TSI19" s="10"/>
      <c r="TSJ19" s="10"/>
      <c r="TSK19" s="10"/>
      <c r="TSL19" s="10"/>
      <c r="TSM19" s="10"/>
      <c r="TSN19" s="10"/>
      <c r="TSO19" s="10"/>
      <c r="TSP19" s="10"/>
      <c r="TSQ19" s="10"/>
      <c r="TSR19" s="10"/>
      <c r="TSS19" s="10"/>
      <c r="TST19" s="10"/>
      <c r="TSU19" s="10"/>
      <c r="TSV19" s="10"/>
      <c r="TSW19" s="10"/>
      <c r="TSX19" s="10"/>
      <c r="TSY19" s="10"/>
      <c r="TSZ19" s="10"/>
      <c r="TTA19" s="10"/>
      <c r="TTB19" s="10"/>
      <c r="TTC19" s="10"/>
      <c r="TTD19" s="10"/>
      <c r="TTE19" s="10"/>
      <c r="TTF19" s="10"/>
      <c r="TTG19" s="10"/>
      <c r="TTH19" s="10"/>
      <c r="TTI19" s="10"/>
      <c r="TTJ19" s="10"/>
      <c r="TTK19" s="10"/>
      <c r="TTL19" s="10"/>
      <c r="TTM19" s="10"/>
      <c r="TTN19" s="10"/>
      <c r="TTO19" s="10"/>
      <c r="TTP19" s="10"/>
      <c r="TTQ19" s="10"/>
      <c r="TTR19" s="10"/>
      <c r="TTS19" s="10"/>
      <c r="TTT19" s="10"/>
      <c r="TTU19" s="10"/>
      <c r="TTV19" s="10"/>
      <c r="TTW19" s="10"/>
      <c r="TTX19" s="10"/>
      <c r="TTY19" s="10"/>
      <c r="TTZ19" s="10"/>
      <c r="TUA19" s="10"/>
      <c r="TUB19" s="10"/>
      <c r="TUC19" s="10"/>
      <c r="TUD19" s="10"/>
      <c r="TUE19" s="10"/>
      <c r="TUF19" s="10"/>
      <c r="TUG19" s="10"/>
      <c r="TUH19" s="10"/>
      <c r="TUI19" s="10"/>
      <c r="TUJ19" s="10"/>
      <c r="TUK19" s="10"/>
      <c r="TUL19" s="10"/>
      <c r="TUM19" s="10"/>
      <c r="TUN19" s="10"/>
      <c r="TUO19" s="10"/>
      <c r="TUP19" s="10"/>
      <c r="TUQ19" s="10"/>
      <c r="TUR19" s="10"/>
      <c r="TUS19" s="10"/>
      <c r="TUT19" s="10"/>
      <c r="TUU19" s="10"/>
      <c r="TUV19" s="10"/>
      <c r="TUW19" s="10"/>
      <c r="TUX19" s="10"/>
      <c r="TUY19" s="10"/>
      <c r="TUZ19" s="10"/>
      <c r="TVA19" s="10"/>
      <c r="TVB19" s="10"/>
      <c r="TVC19" s="10"/>
      <c r="TVD19" s="10"/>
      <c r="TVE19" s="10"/>
      <c r="TVF19" s="10"/>
      <c r="TVG19" s="10"/>
      <c r="TVH19" s="10"/>
      <c r="TVI19" s="10"/>
      <c r="TVJ19" s="10"/>
      <c r="TVK19" s="10"/>
      <c r="TVL19" s="10"/>
      <c r="TVM19" s="10"/>
      <c r="TVN19" s="10"/>
      <c r="TVO19" s="10"/>
      <c r="TVP19" s="10"/>
      <c r="TVQ19" s="10"/>
      <c r="TVR19" s="10"/>
      <c r="TVS19" s="10"/>
      <c r="TVT19" s="10"/>
      <c r="TVU19" s="10"/>
      <c r="TVV19" s="10"/>
      <c r="TVW19" s="10"/>
      <c r="TVX19" s="10"/>
      <c r="TVY19" s="10"/>
      <c r="TVZ19" s="10"/>
      <c r="TWA19" s="10"/>
      <c r="TWB19" s="10"/>
      <c r="TWC19" s="10"/>
      <c r="TWD19" s="10"/>
      <c r="TWE19" s="10"/>
      <c r="TWF19" s="10"/>
      <c r="TWG19" s="10"/>
      <c r="TWH19" s="10"/>
      <c r="TWI19" s="10"/>
      <c r="TWJ19" s="10"/>
      <c r="TWK19" s="10"/>
      <c r="TWL19" s="10"/>
      <c r="TWM19" s="10"/>
      <c r="TWN19" s="10"/>
      <c r="TWO19" s="10"/>
      <c r="TWP19" s="10"/>
      <c r="TWQ19" s="10"/>
      <c r="TWR19" s="10"/>
      <c r="TWS19" s="10"/>
      <c r="TWT19" s="10"/>
      <c r="TWU19" s="10"/>
      <c r="TWV19" s="10"/>
      <c r="TWW19" s="10"/>
      <c r="TWX19" s="10"/>
      <c r="TWY19" s="10"/>
      <c r="TWZ19" s="10"/>
      <c r="TXA19" s="10"/>
      <c r="TXB19" s="10"/>
      <c r="TXC19" s="10"/>
      <c r="TXD19" s="10"/>
      <c r="TXE19" s="10"/>
      <c r="TXF19" s="10"/>
      <c r="TXG19" s="10"/>
      <c r="TXH19" s="10"/>
      <c r="TXI19" s="10"/>
      <c r="TXJ19" s="10"/>
      <c r="TXK19" s="10"/>
      <c r="TXL19" s="10"/>
      <c r="TXM19" s="10"/>
      <c r="TXN19" s="10"/>
      <c r="TXO19" s="10"/>
      <c r="TXP19" s="10"/>
      <c r="TXQ19" s="10"/>
      <c r="TXR19" s="10"/>
      <c r="TXS19" s="10"/>
      <c r="TXT19" s="10"/>
      <c r="TXU19" s="10"/>
      <c r="TXV19" s="10"/>
      <c r="TXW19" s="10"/>
      <c r="TXX19" s="10"/>
      <c r="TXY19" s="10"/>
      <c r="TXZ19" s="10"/>
      <c r="TYA19" s="10"/>
      <c r="TYB19" s="10"/>
      <c r="TYC19" s="10"/>
      <c r="TYD19" s="10"/>
      <c r="TYE19" s="10"/>
      <c r="TYF19" s="10"/>
      <c r="TYG19" s="10"/>
      <c r="TYH19" s="10"/>
      <c r="TYI19" s="10"/>
      <c r="TYJ19" s="10"/>
      <c r="TYK19" s="10"/>
      <c r="TYL19" s="10"/>
      <c r="TYM19" s="10"/>
      <c r="TYN19" s="10"/>
      <c r="TYO19" s="10"/>
      <c r="TYP19" s="10"/>
      <c r="TYQ19" s="10"/>
      <c r="TYR19" s="10"/>
      <c r="TYS19" s="10"/>
      <c r="TYT19" s="10"/>
      <c r="TYU19" s="10"/>
      <c r="TYV19" s="10"/>
      <c r="TYW19" s="10"/>
      <c r="TYX19" s="10"/>
      <c r="TYY19" s="10"/>
      <c r="TYZ19" s="10"/>
      <c r="TZA19" s="10"/>
      <c r="TZB19" s="10"/>
      <c r="TZC19" s="10"/>
      <c r="TZD19" s="10"/>
      <c r="TZE19" s="10"/>
      <c r="TZF19" s="10"/>
      <c r="TZG19" s="10"/>
      <c r="TZH19" s="10"/>
      <c r="TZI19" s="10"/>
      <c r="TZJ19" s="10"/>
      <c r="TZK19" s="10"/>
      <c r="TZL19" s="10"/>
      <c r="TZM19" s="10"/>
      <c r="TZN19" s="10"/>
      <c r="TZO19" s="10"/>
      <c r="TZP19" s="10"/>
      <c r="TZQ19" s="10"/>
      <c r="TZR19" s="10"/>
      <c r="TZS19" s="10"/>
      <c r="TZT19" s="10"/>
      <c r="TZU19" s="10"/>
      <c r="TZV19" s="10"/>
      <c r="TZW19" s="10"/>
      <c r="TZX19" s="10"/>
      <c r="TZY19" s="10"/>
      <c r="TZZ19" s="10"/>
      <c r="UAA19" s="10"/>
      <c r="UAB19" s="10"/>
      <c r="UAC19" s="10"/>
      <c r="UAD19" s="10"/>
      <c r="UAE19" s="10"/>
      <c r="UAF19" s="10"/>
      <c r="UAG19" s="10"/>
      <c r="UAH19" s="10"/>
      <c r="UAI19" s="10"/>
      <c r="UAJ19" s="10"/>
      <c r="UAK19" s="10"/>
      <c r="UAL19" s="10"/>
      <c r="UAM19" s="10"/>
      <c r="UAN19" s="10"/>
      <c r="UAO19" s="10"/>
      <c r="UAP19" s="10"/>
      <c r="UAQ19" s="10"/>
      <c r="UAR19" s="10"/>
      <c r="UAS19" s="10"/>
      <c r="UAT19" s="10"/>
      <c r="UAU19" s="10"/>
      <c r="UAV19" s="10"/>
      <c r="UAW19" s="10"/>
      <c r="UAX19" s="10"/>
      <c r="UAY19" s="10"/>
      <c r="UAZ19" s="10"/>
      <c r="UBA19" s="10"/>
      <c r="UBB19" s="10"/>
      <c r="UBC19" s="10"/>
      <c r="UBD19" s="10"/>
      <c r="UBE19" s="10"/>
      <c r="UBF19" s="10"/>
      <c r="UBG19" s="10"/>
      <c r="UBH19" s="10"/>
      <c r="UBI19" s="10"/>
      <c r="UBJ19" s="10"/>
      <c r="UBK19" s="10"/>
      <c r="UBL19" s="10"/>
      <c r="UBM19" s="10"/>
      <c r="UBN19" s="10"/>
      <c r="UBO19" s="10"/>
      <c r="UBP19" s="10"/>
      <c r="UBQ19" s="10"/>
      <c r="UBR19" s="10"/>
      <c r="UBS19" s="10"/>
      <c r="UBT19" s="10"/>
      <c r="UBU19" s="10"/>
      <c r="UBV19" s="10"/>
      <c r="UBW19" s="10"/>
      <c r="UBX19" s="10"/>
      <c r="UBY19" s="10"/>
      <c r="UBZ19" s="10"/>
      <c r="UCA19" s="10"/>
      <c r="UCB19" s="10"/>
      <c r="UCC19" s="10"/>
      <c r="UCD19" s="10"/>
      <c r="UCE19" s="10"/>
      <c r="UCF19" s="10"/>
      <c r="UCG19" s="10"/>
      <c r="UCH19" s="10"/>
      <c r="UCI19" s="10"/>
      <c r="UCJ19" s="10"/>
      <c r="UCK19" s="10"/>
      <c r="UCL19" s="10"/>
      <c r="UCM19" s="10"/>
      <c r="UCN19" s="10"/>
      <c r="UCO19" s="10"/>
      <c r="UCP19" s="10"/>
      <c r="UCQ19" s="10"/>
      <c r="UCR19" s="10"/>
      <c r="UCS19" s="10"/>
      <c r="UCT19" s="10"/>
      <c r="UCU19" s="10"/>
      <c r="UCV19" s="10"/>
      <c r="UCW19" s="10"/>
      <c r="UCX19" s="10"/>
      <c r="UCY19" s="10"/>
      <c r="UCZ19" s="10"/>
      <c r="UDA19" s="10"/>
      <c r="UDB19" s="10"/>
      <c r="UDC19" s="10"/>
      <c r="UDD19" s="10"/>
      <c r="UDE19" s="10"/>
      <c r="UDF19" s="10"/>
      <c r="UDG19" s="10"/>
      <c r="UDH19" s="10"/>
      <c r="UDI19" s="10"/>
      <c r="UDJ19" s="10"/>
      <c r="UDK19" s="10"/>
      <c r="UDL19" s="10"/>
      <c r="UDM19" s="10"/>
      <c r="UDN19" s="10"/>
      <c r="UDO19" s="10"/>
      <c r="UDP19" s="10"/>
      <c r="UDQ19" s="10"/>
      <c r="UDR19" s="10"/>
      <c r="UDS19" s="10"/>
      <c r="UDT19" s="10"/>
      <c r="UDU19" s="10"/>
      <c r="UDV19" s="10"/>
      <c r="UDW19" s="10"/>
      <c r="UDX19" s="10"/>
      <c r="UDY19" s="10"/>
      <c r="UDZ19" s="10"/>
      <c r="UEA19" s="10"/>
      <c r="UEB19" s="10"/>
      <c r="UEC19" s="10"/>
      <c r="UED19" s="10"/>
      <c r="UEE19" s="10"/>
      <c r="UEF19" s="10"/>
      <c r="UEG19" s="10"/>
      <c r="UEH19" s="10"/>
      <c r="UEI19" s="10"/>
      <c r="UEJ19" s="10"/>
      <c r="UEK19" s="10"/>
      <c r="UEL19" s="10"/>
      <c r="UEM19" s="10"/>
      <c r="UEN19" s="10"/>
      <c r="UEO19" s="10"/>
      <c r="UEP19" s="10"/>
      <c r="UEQ19" s="10"/>
      <c r="UER19" s="10"/>
      <c r="UES19" s="10"/>
      <c r="UET19" s="10"/>
      <c r="UEU19" s="10"/>
      <c r="UEV19" s="10"/>
      <c r="UEW19" s="10"/>
      <c r="UEX19" s="10"/>
      <c r="UEY19" s="10"/>
      <c r="UEZ19" s="10"/>
      <c r="UFA19" s="10"/>
      <c r="UFB19" s="10"/>
      <c r="UFC19" s="10"/>
      <c r="UFD19" s="10"/>
      <c r="UFE19" s="10"/>
      <c r="UFF19" s="10"/>
      <c r="UFG19" s="10"/>
      <c r="UFH19" s="10"/>
      <c r="UFI19" s="10"/>
      <c r="UFJ19" s="10"/>
      <c r="UFK19" s="10"/>
      <c r="UFL19" s="10"/>
      <c r="UFM19" s="10"/>
      <c r="UFN19" s="10"/>
      <c r="UFO19" s="10"/>
      <c r="UFP19" s="10"/>
      <c r="UFQ19" s="10"/>
      <c r="UFR19" s="10"/>
      <c r="UFS19" s="10"/>
      <c r="UFT19" s="10"/>
      <c r="UFU19" s="10"/>
      <c r="UFV19" s="10"/>
      <c r="UFW19" s="10"/>
      <c r="UFX19" s="10"/>
      <c r="UFY19" s="10"/>
      <c r="UFZ19" s="10"/>
      <c r="UGA19" s="10"/>
      <c r="UGB19" s="10"/>
      <c r="UGC19" s="10"/>
      <c r="UGD19" s="10"/>
      <c r="UGE19" s="10"/>
      <c r="UGF19" s="10"/>
      <c r="UGG19" s="10"/>
      <c r="UGH19" s="10"/>
      <c r="UGI19" s="10"/>
      <c r="UGJ19" s="10"/>
      <c r="UGK19" s="10"/>
      <c r="UGL19" s="10"/>
      <c r="UGM19" s="10"/>
      <c r="UGN19" s="10"/>
      <c r="UGO19" s="10"/>
      <c r="UGP19" s="10"/>
      <c r="UGQ19" s="10"/>
      <c r="UGR19" s="10"/>
      <c r="UGS19" s="10"/>
      <c r="UGT19" s="10"/>
      <c r="UGU19" s="10"/>
      <c r="UGV19" s="10"/>
      <c r="UGW19" s="10"/>
      <c r="UGX19" s="10"/>
      <c r="UGY19" s="10"/>
      <c r="UGZ19" s="10"/>
      <c r="UHA19" s="10"/>
      <c r="UHB19" s="10"/>
      <c r="UHC19" s="10"/>
      <c r="UHD19" s="10"/>
      <c r="UHE19" s="10"/>
      <c r="UHF19" s="10"/>
      <c r="UHG19" s="10"/>
      <c r="UHH19" s="10"/>
      <c r="UHI19" s="10"/>
      <c r="UHJ19" s="10"/>
      <c r="UHK19" s="10"/>
      <c r="UHL19" s="10"/>
      <c r="UHM19" s="10"/>
      <c r="UHN19" s="10"/>
      <c r="UHO19" s="10"/>
      <c r="UHP19" s="10"/>
      <c r="UHQ19" s="10"/>
      <c r="UHR19" s="10"/>
      <c r="UHS19" s="10"/>
      <c r="UHT19" s="10"/>
      <c r="UHU19" s="10"/>
      <c r="UHV19" s="10"/>
      <c r="UHW19" s="10"/>
      <c r="UHX19" s="10"/>
      <c r="UHY19" s="10"/>
      <c r="UHZ19" s="10"/>
      <c r="UIA19" s="10"/>
      <c r="UIB19" s="10"/>
      <c r="UIC19" s="10"/>
      <c r="UID19" s="10"/>
      <c r="UIE19" s="10"/>
      <c r="UIF19" s="10"/>
      <c r="UIG19" s="10"/>
      <c r="UIH19" s="10"/>
      <c r="UII19" s="10"/>
      <c r="UIJ19" s="10"/>
      <c r="UIK19" s="10"/>
      <c r="UIL19" s="10"/>
      <c r="UIM19" s="10"/>
      <c r="UIN19" s="10"/>
      <c r="UIO19" s="10"/>
      <c r="UIP19" s="10"/>
      <c r="UIQ19" s="10"/>
      <c r="UIR19" s="10"/>
      <c r="UIS19" s="10"/>
      <c r="UIT19" s="10"/>
      <c r="UIU19" s="10"/>
      <c r="UIV19" s="10"/>
      <c r="UIW19" s="10"/>
      <c r="UIX19" s="10"/>
      <c r="UIY19" s="10"/>
      <c r="UIZ19" s="10"/>
      <c r="UJA19" s="10"/>
      <c r="UJB19" s="10"/>
      <c r="UJC19" s="10"/>
      <c r="UJD19" s="10"/>
      <c r="UJE19" s="10"/>
      <c r="UJF19" s="10"/>
      <c r="UJG19" s="10"/>
      <c r="UJH19" s="10"/>
      <c r="UJI19" s="10"/>
      <c r="UJJ19" s="10"/>
      <c r="UJK19" s="10"/>
      <c r="UJL19" s="10"/>
      <c r="UJM19" s="10"/>
      <c r="UJN19" s="10"/>
      <c r="UJO19" s="10"/>
      <c r="UJP19" s="10"/>
      <c r="UJQ19" s="10"/>
      <c r="UJR19" s="10"/>
      <c r="UJS19" s="10"/>
      <c r="UJT19" s="10"/>
      <c r="UJU19" s="10"/>
      <c r="UJV19" s="10"/>
      <c r="UJW19" s="10"/>
      <c r="UJX19" s="10"/>
      <c r="UJY19" s="10"/>
      <c r="UJZ19" s="10"/>
      <c r="UKA19" s="10"/>
      <c r="UKB19" s="10"/>
      <c r="UKC19" s="10"/>
      <c r="UKD19" s="10"/>
      <c r="UKE19" s="10"/>
      <c r="UKF19" s="10"/>
      <c r="UKG19" s="10"/>
      <c r="UKH19" s="10"/>
      <c r="UKI19" s="10"/>
      <c r="UKJ19" s="10"/>
      <c r="UKK19" s="10"/>
      <c r="UKL19" s="10"/>
      <c r="UKM19" s="10"/>
      <c r="UKN19" s="10"/>
      <c r="UKO19" s="10"/>
      <c r="UKP19" s="10"/>
      <c r="UKQ19" s="10"/>
      <c r="UKR19" s="10"/>
      <c r="UKS19" s="10"/>
      <c r="UKT19" s="10"/>
      <c r="UKU19" s="10"/>
      <c r="UKV19" s="10"/>
      <c r="UKW19" s="10"/>
      <c r="UKX19" s="10"/>
      <c r="UKY19" s="10"/>
      <c r="UKZ19" s="10"/>
      <c r="ULA19" s="10"/>
      <c r="ULB19" s="10"/>
      <c r="ULC19" s="10"/>
      <c r="ULD19" s="10"/>
      <c r="ULE19" s="10"/>
      <c r="ULF19" s="10"/>
      <c r="ULG19" s="10"/>
      <c r="ULH19" s="10"/>
      <c r="ULI19" s="10"/>
      <c r="ULJ19" s="10"/>
      <c r="ULK19" s="10"/>
      <c r="ULL19" s="10"/>
      <c r="ULM19" s="10"/>
      <c r="ULN19" s="10"/>
      <c r="ULO19" s="10"/>
      <c r="ULP19" s="10"/>
      <c r="ULQ19" s="10"/>
      <c r="ULR19" s="10"/>
      <c r="ULS19" s="10"/>
      <c r="ULT19" s="10"/>
      <c r="ULU19" s="10"/>
      <c r="ULV19" s="10"/>
      <c r="ULW19" s="10"/>
      <c r="ULX19" s="10"/>
      <c r="ULY19" s="10"/>
      <c r="ULZ19" s="10"/>
      <c r="UMA19" s="10"/>
      <c r="UMB19" s="10"/>
      <c r="UMC19" s="10"/>
      <c r="UMD19" s="10"/>
      <c r="UME19" s="10"/>
      <c r="UMF19" s="10"/>
      <c r="UMG19" s="10"/>
      <c r="UMH19" s="10"/>
      <c r="UMI19" s="10"/>
      <c r="UMJ19" s="10"/>
      <c r="UMK19" s="10"/>
      <c r="UML19" s="10"/>
      <c r="UMM19" s="10"/>
      <c r="UMN19" s="10"/>
      <c r="UMO19" s="10"/>
      <c r="UMP19" s="10"/>
      <c r="UMQ19" s="10"/>
      <c r="UMR19" s="10"/>
      <c r="UMS19" s="10"/>
      <c r="UMT19" s="10"/>
      <c r="UMU19" s="10"/>
      <c r="UMV19" s="10"/>
      <c r="UMW19" s="10"/>
      <c r="UMX19" s="10"/>
      <c r="UMY19" s="10"/>
      <c r="UMZ19" s="10"/>
      <c r="UNA19" s="10"/>
      <c r="UNB19" s="10"/>
      <c r="UNC19" s="10"/>
      <c r="UND19" s="10"/>
      <c r="UNE19" s="10"/>
      <c r="UNF19" s="10"/>
      <c r="UNG19" s="10"/>
      <c r="UNH19" s="10"/>
      <c r="UNI19" s="10"/>
      <c r="UNJ19" s="10"/>
      <c r="UNK19" s="10"/>
      <c r="UNL19" s="10"/>
      <c r="UNM19" s="10"/>
      <c r="UNN19" s="10"/>
      <c r="UNO19" s="10"/>
      <c r="UNP19" s="10"/>
      <c r="UNQ19" s="10"/>
      <c r="UNR19" s="10"/>
      <c r="UNS19" s="10"/>
      <c r="UNT19" s="10"/>
      <c r="UNU19" s="10"/>
      <c r="UNV19" s="10"/>
      <c r="UNW19" s="10"/>
      <c r="UNX19" s="10"/>
      <c r="UNY19" s="10"/>
      <c r="UNZ19" s="10"/>
      <c r="UOA19" s="10"/>
      <c r="UOB19" s="10"/>
      <c r="UOC19" s="10"/>
      <c r="UOD19" s="10"/>
      <c r="UOE19" s="10"/>
      <c r="UOF19" s="10"/>
      <c r="UOG19" s="10"/>
      <c r="UOH19" s="10"/>
      <c r="UOI19" s="10"/>
      <c r="UOJ19" s="10"/>
      <c r="UOK19" s="10"/>
      <c r="UOL19" s="10"/>
      <c r="UOM19" s="10"/>
      <c r="UON19" s="10"/>
      <c r="UOO19" s="10"/>
      <c r="UOP19" s="10"/>
      <c r="UOQ19" s="10"/>
      <c r="UOR19" s="10"/>
      <c r="UOS19" s="10"/>
      <c r="UOT19" s="10"/>
      <c r="UOU19" s="10"/>
      <c r="UOV19" s="10"/>
      <c r="UOW19" s="10"/>
      <c r="UOX19" s="10"/>
      <c r="UOY19" s="10"/>
      <c r="UOZ19" s="10"/>
      <c r="UPA19" s="10"/>
      <c r="UPB19" s="10"/>
      <c r="UPC19" s="10"/>
      <c r="UPD19" s="10"/>
      <c r="UPE19" s="10"/>
      <c r="UPF19" s="10"/>
      <c r="UPG19" s="10"/>
      <c r="UPH19" s="10"/>
      <c r="UPI19" s="10"/>
      <c r="UPJ19" s="10"/>
      <c r="UPK19" s="10"/>
      <c r="UPL19" s="10"/>
      <c r="UPM19" s="10"/>
      <c r="UPN19" s="10"/>
      <c r="UPO19" s="10"/>
      <c r="UPP19" s="10"/>
      <c r="UPQ19" s="10"/>
      <c r="UPR19" s="10"/>
      <c r="UPS19" s="10"/>
      <c r="UPT19" s="10"/>
      <c r="UPU19" s="10"/>
      <c r="UPV19" s="10"/>
      <c r="UPW19" s="10"/>
      <c r="UPX19" s="10"/>
      <c r="UPY19" s="10"/>
      <c r="UPZ19" s="10"/>
      <c r="UQA19" s="10"/>
      <c r="UQB19" s="10"/>
      <c r="UQC19" s="10"/>
      <c r="UQD19" s="10"/>
      <c r="UQE19" s="10"/>
      <c r="UQF19" s="10"/>
      <c r="UQG19" s="10"/>
      <c r="UQH19" s="10"/>
      <c r="UQI19" s="10"/>
      <c r="UQJ19" s="10"/>
      <c r="UQK19" s="10"/>
      <c r="UQL19" s="10"/>
      <c r="UQM19" s="10"/>
      <c r="UQN19" s="10"/>
      <c r="UQO19" s="10"/>
      <c r="UQP19" s="10"/>
      <c r="UQQ19" s="10"/>
      <c r="UQR19" s="10"/>
      <c r="UQS19" s="10"/>
      <c r="UQT19" s="10"/>
      <c r="UQU19" s="10"/>
      <c r="UQV19" s="10"/>
      <c r="UQW19" s="10"/>
      <c r="UQX19" s="10"/>
      <c r="UQY19" s="10"/>
      <c r="UQZ19" s="10"/>
      <c r="URA19" s="10"/>
      <c r="URB19" s="10"/>
      <c r="URC19" s="10"/>
      <c r="URD19" s="10"/>
      <c r="URE19" s="10"/>
      <c r="URF19" s="10"/>
      <c r="URG19" s="10"/>
      <c r="URH19" s="10"/>
      <c r="URI19" s="10"/>
      <c r="URJ19" s="10"/>
      <c r="URK19" s="10"/>
      <c r="URL19" s="10"/>
      <c r="URM19" s="10"/>
      <c r="URN19" s="10"/>
      <c r="URO19" s="10"/>
      <c r="URP19" s="10"/>
      <c r="URQ19" s="10"/>
      <c r="URR19" s="10"/>
      <c r="URS19" s="10"/>
      <c r="URT19" s="10"/>
      <c r="URU19" s="10"/>
      <c r="URV19" s="10"/>
      <c r="URW19" s="10"/>
      <c r="URX19" s="10"/>
      <c r="URY19" s="10"/>
      <c r="URZ19" s="10"/>
      <c r="USA19" s="10"/>
      <c r="USB19" s="10"/>
      <c r="USC19" s="10"/>
      <c r="USD19" s="10"/>
      <c r="USE19" s="10"/>
      <c r="USF19" s="10"/>
      <c r="USG19" s="10"/>
      <c r="USH19" s="10"/>
      <c r="USI19" s="10"/>
      <c r="USJ19" s="10"/>
      <c r="USK19" s="10"/>
      <c r="USL19" s="10"/>
      <c r="USM19" s="10"/>
      <c r="USN19" s="10"/>
      <c r="USO19" s="10"/>
      <c r="USP19" s="10"/>
      <c r="USQ19" s="10"/>
      <c r="USR19" s="10"/>
      <c r="USS19" s="10"/>
      <c r="UST19" s="10"/>
      <c r="USU19" s="10"/>
      <c r="USV19" s="10"/>
      <c r="USW19" s="10"/>
      <c r="USX19" s="10"/>
      <c r="USY19" s="10"/>
      <c r="USZ19" s="10"/>
      <c r="UTA19" s="10"/>
      <c r="UTB19" s="10"/>
      <c r="UTC19" s="10"/>
      <c r="UTD19" s="10"/>
      <c r="UTE19" s="10"/>
      <c r="UTF19" s="10"/>
      <c r="UTG19" s="10"/>
      <c r="UTH19" s="10"/>
      <c r="UTI19" s="10"/>
      <c r="UTJ19" s="10"/>
      <c r="UTK19" s="10"/>
      <c r="UTL19" s="10"/>
      <c r="UTM19" s="10"/>
      <c r="UTN19" s="10"/>
      <c r="UTO19" s="10"/>
      <c r="UTP19" s="10"/>
      <c r="UTQ19" s="10"/>
      <c r="UTR19" s="10"/>
      <c r="UTS19" s="10"/>
      <c r="UTT19" s="10"/>
      <c r="UTU19" s="10"/>
      <c r="UTV19" s="10"/>
      <c r="UTW19" s="10"/>
      <c r="UTX19" s="10"/>
      <c r="UTY19" s="10"/>
      <c r="UTZ19" s="10"/>
      <c r="UUA19" s="10"/>
      <c r="UUB19" s="10"/>
      <c r="UUC19" s="10"/>
      <c r="UUD19" s="10"/>
      <c r="UUE19" s="10"/>
      <c r="UUF19" s="10"/>
      <c r="UUG19" s="10"/>
      <c r="UUH19" s="10"/>
      <c r="UUI19" s="10"/>
      <c r="UUJ19" s="10"/>
      <c r="UUK19" s="10"/>
      <c r="UUL19" s="10"/>
      <c r="UUM19" s="10"/>
      <c r="UUN19" s="10"/>
      <c r="UUO19" s="10"/>
      <c r="UUP19" s="10"/>
      <c r="UUQ19" s="10"/>
      <c r="UUR19" s="10"/>
      <c r="UUS19" s="10"/>
      <c r="UUT19" s="10"/>
      <c r="UUU19" s="10"/>
      <c r="UUV19" s="10"/>
      <c r="UUW19" s="10"/>
      <c r="UUX19" s="10"/>
      <c r="UUY19" s="10"/>
      <c r="UUZ19" s="10"/>
      <c r="UVA19" s="10"/>
      <c r="UVB19" s="10"/>
      <c r="UVC19" s="10"/>
      <c r="UVD19" s="10"/>
      <c r="UVE19" s="10"/>
      <c r="UVF19" s="10"/>
      <c r="UVG19" s="10"/>
      <c r="UVH19" s="10"/>
      <c r="UVI19" s="10"/>
      <c r="UVJ19" s="10"/>
      <c r="UVK19" s="10"/>
      <c r="UVL19" s="10"/>
      <c r="UVM19" s="10"/>
      <c r="UVN19" s="10"/>
      <c r="UVO19" s="10"/>
      <c r="UVP19" s="10"/>
      <c r="UVQ19" s="10"/>
      <c r="UVR19" s="10"/>
      <c r="UVS19" s="10"/>
      <c r="UVT19" s="10"/>
      <c r="UVU19" s="10"/>
      <c r="UVV19" s="10"/>
      <c r="UVW19" s="10"/>
      <c r="UVX19" s="10"/>
      <c r="UVY19" s="10"/>
      <c r="UVZ19" s="10"/>
      <c r="UWA19" s="10"/>
      <c r="UWB19" s="10"/>
      <c r="UWC19" s="10"/>
      <c r="UWD19" s="10"/>
      <c r="UWE19" s="10"/>
      <c r="UWF19" s="10"/>
      <c r="UWG19" s="10"/>
      <c r="UWH19" s="10"/>
      <c r="UWI19" s="10"/>
      <c r="UWJ19" s="10"/>
      <c r="UWK19" s="10"/>
      <c r="UWL19" s="10"/>
      <c r="UWM19" s="10"/>
      <c r="UWN19" s="10"/>
      <c r="UWO19" s="10"/>
      <c r="UWP19" s="10"/>
      <c r="UWQ19" s="10"/>
      <c r="UWR19" s="10"/>
      <c r="UWS19" s="10"/>
      <c r="UWT19" s="10"/>
      <c r="UWU19" s="10"/>
      <c r="UWV19" s="10"/>
      <c r="UWW19" s="10"/>
      <c r="UWX19" s="10"/>
      <c r="UWY19" s="10"/>
      <c r="UWZ19" s="10"/>
      <c r="UXA19" s="10"/>
      <c r="UXB19" s="10"/>
      <c r="UXC19" s="10"/>
      <c r="UXD19" s="10"/>
      <c r="UXE19" s="10"/>
      <c r="UXF19" s="10"/>
      <c r="UXG19" s="10"/>
      <c r="UXH19" s="10"/>
      <c r="UXI19" s="10"/>
      <c r="UXJ19" s="10"/>
      <c r="UXK19" s="10"/>
      <c r="UXL19" s="10"/>
      <c r="UXM19" s="10"/>
      <c r="UXN19" s="10"/>
      <c r="UXO19" s="10"/>
      <c r="UXP19" s="10"/>
      <c r="UXQ19" s="10"/>
      <c r="UXR19" s="10"/>
      <c r="UXS19" s="10"/>
      <c r="UXT19" s="10"/>
      <c r="UXU19" s="10"/>
      <c r="UXV19" s="10"/>
      <c r="UXW19" s="10"/>
      <c r="UXX19" s="10"/>
      <c r="UXY19" s="10"/>
      <c r="UXZ19" s="10"/>
      <c r="UYA19" s="10"/>
      <c r="UYB19" s="10"/>
      <c r="UYC19" s="10"/>
      <c r="UYD19" s="10"/>
      <c r="UYE19" s="10"/>
      <c r="UYF19" s="10"/>
      <c r="UYG19" s="10"/>
      <c r="UYH19" s="10"/>
      <c r="UYI19" s="10"/>
      <c r="UYJ19" s="10"/>
      <c r="UYK19" s="10"/>
      <c r="UYL19" s="10"/>
      <c r="UYM19" s="10"/>
      <c r="UYN19" s="10"/>
      <c r="UYO19" s="10"/>
      <c r="UYP19" s="10"/>
      <c r="UYQ19" s="10"/>
      <c r="UYR19" s="10"/>
      <c r="UYS19" s="10"/>
      <c r="UYT19" s="10"/>
      <c r="UYU19" s="10"/>
      <c r="UYV19" s="10"/>
      <c r="UYW19" s="10"/>
      <c r="UYX19" s="10"/>
      <c r="UYY19" s="10"/>
      <c r="UYZ19" s="10"/>
      <c r="UZA19" s="10"/>
      <c r="UZB19" s="10"/>
      <c r="UZC19" s="10"/>
      <c r="UZD19" s="10"/>
      <c r="UZE19" s="10"/>
      <c r="UZF19" s="10"/>
      <c r="UZG19" s="10"/>
      <c r="UZH19" s="10"/>
      <c r="UZI19" s="10"/>
      <c r="UZJ19" s="10"/>
      <c r="UZK19" s="10"/>
      <c r="UZL19" s="10"/>
      <c r="UZM19" s="10"/>
      <c r="UZN19" s="10"/>
      <c r="UZO19" s="10"/>
      <c r="UZP19" s="10"/>
      <c r="UZQ19" s="10"/>
      <c r="UZR19" s="10"/>
      <c r="UZS19" s="10"/>
      <c r="UZT19" s="10"/>
      <c r="UZU19" s="10"/>
      <c r="UZV19" s="10"/>
      <c r="UZW19" s="10"/>
      <c r="UZX19" s="10"/>
      <c r="UZY19" s="10"/>
      <c r="UZZ19" s="10"/>
      <c r="VAA19" s="10"/>
      <c r="VAB19" s="10"/>
      <c r="VAC19" s="10"/>
      <c r="VAD19" s="10"/>
      <c r="VAE19" s="10"/>
      <c r="VAF19" s="10"/>
      <c r="VAG19" s="10"/>
      <c r="VAH19" s="10"/>
      <c r="VAI19" s="10"/>
      <c r="VAJ19" s="10"/>
      <c r="VAK19" s="10"/>
      <c r="VAL19" s="10"/>
      <c r="VAM19" s="10"/>
      <c r="VAN19" s="10"/>
      <c r="VAO19" s="10"/>
      <c r="VAP19" s="10"/>
      <c r="VAQ19" s="10"/>
      <c r="VAR19" s="10"/>
      <c r="VAS19" s="10"/>
      <c r="VAT19" s="10"/>
      <c r="VAU19" s="10"/>
      <c r="VAV19" s="10"/>
      <c r="VAW19" s="10"/>
      <c r="VAX19" s="10"/>
      <c r="VAY19" s="10"/>
      <c r="VAZ19" s="10"/>
      <c r="VBA19" s="10"/>
      <c r="VBB19" s="10"/>
      <c r="VBC19" s="10"/>
      <c r="VBD19" s="10"/>
      <c r="VBE19" s="10"/>
      <c r="VBF19" s="10"/>
      <c r="VBG19" s="10"/>
      <c r="VBH19" s="10"/>
      <c r="VBI19" s="10"/>
      <c r="VBJ19" s="10"/>
      <c r="VBK19" s="10"/>
      <c r="VBL19" s="10"/>
      <c r="VBM19" s="10"/>
      <c r="VBN19" s="10"/>
      <c r="VBO19" s="10"/>
      <c r="VBP19" s="10"/>
      <c r="VBQ19" s="10"/>
      <c r="VBR19" s="10"/>
      <c r="VBS19" s="10"/>
      <c r="VBT19" s="10"/>
      <c r="VBU19" s="10"/>
      <c r="VBV19" s="10"/>
      <c r="VBW19" s="10"/>
      <c r="VBX19" s="10"/>
      <c r="VBY19" s="10"/>
      <c r="VBZ19" s="10"/>
      <c r="VCA19" s="10"/>
      <c r="VCB19" s="10"/>
      <c r="VCC19" s="10"/>
      <c r="VCD19" s="10"/>
      <c r="VCE19" s="10"/>
      <c r="VCF19" s="10"/>
      <c r="VCG19" s="10"/>
      <c r="VCH19" s="10"/>
      <c r="VCI19" s="10"/>
      <c r="VCJ19" s="10"/>
      <c r="VCK19" s="10"/>
      <c r="VCL19" s="10"/>
      <c r="VCM19" s="10"/>
      <c r="VCN19" s="10"/>
      <c r="VCO19" s="10"/>
      <c r="VCP19" s="10"/>
      <c r="VCQ19" s="10"/>
      <c r="VCR19" s="10"/>
      <c r="VCS19" s="10"/>
      <c r="VCT19" s="10"/>
      <c r="VCU19" s="10"/>
      <c r="VCV19" s="10"/>
      <c r="VCW19" s="10"/>
      <c r="VCX19" s="10"/>
      <c r="VCY19" s="10"/>
      <c r="VCZ19" s="10"/>
      <c r="VDA19" s="10"/>
      <c r="VDB19" s="10"/>
      <c r="VDC19" s="10"/>
      <c r="VDD19" s="10"/>
      <c r="VDE19" s="10"/>
      <c r="VDF19" s="10"/>
      <c r="VDG19" s="10"/>
      <c r="VDH19" s="10"/>
      <c r="VDI19" s="10"/>
      <c r="VDJ19" s="10"/>
      <c r="VDK19" s="10"/>
      <c r="VDL19" s="10"/>
      <c r="VDM19" s="10"/>
      <c r="VDN19" s="10"/>
      <c r="VDO19" s="10"/>
      <c r="VDP19" s="10"/>
      <c r="VDQ19" s="10"/>
      <c r="VDR19" s="10"/>
      <c r="VDS19" s="10"/>
      <c r="VDT19" s="10"/>
      <c r="VDU19" s="10"/>
      <c r="VDV19" s="10"/>
      <c r="VDW19" s="10"/>
      <c r="VDX19" s="10"/>
      <c r="VDY19" s="10"/>
      <c r="VDZ19" s="10"/>
      <c r="VEA19" s="10"/>
      <c r="VEB19" s="10"/>
      <c r="VEC19" s="10"/>
      <c r="VED19" s="10"/>
      <c r="VEE19" s="10"/>
      <c r="VEF19" s="10"/>
      <c r="VEG19" s="10"/>
      <c r="VEH19" s="10"/>
      <c r="VEI19" s="10"/>
      <c r="VEJ19" s="10"/>
      <c r="VEK19" s="10"/>
      <c r="VEL19" s="10"/>
      <c r="VEM19" s="10"/>
      <c r="VEN19" s="10"/>
      <c r="VEO19" s="10"/>
      <c r="VEP19" s="10"/>
      <c r="VEQ19" s="10"/>
      <c r="VER19" s="10"/>
      <c r="VES19" s="10"/>
      <c r="VET19" s="10"/>
      <c r="VEU19" s="10"/>
      <c r="VEV19" s="10"/>
      <c r="VEW19" s="10"/>
      <c r="VEX19" s="10"/>
      <c r="VEY19" s="10"/>
      <c r="VEZ19" s="10"/>
      <c r="VFA19" s="10"/>
      <c r="VFB19" s="10"/>
      <c r="VFC19" s="10"/>
      <c r="VFD19" s="10"/>
      <c r="VFE19" s="10"/>
      <c r="VFF19" s="10"/>
      <c r="VFG19" s="10"/>
      <c r="VFH19" s="10"/>
      <c r="VFI19" s="10"/>
      <c r="VFJ19" s="10"/>
      <c r="VFK19" s="10"/>
      <c r="VFL19" s="10"/>
      <c r="VFM19" s="10"/>
      <c r="VFN19" s="10"/>
      <c r="VFO19" s="10"/>
      <c r="VFP19" s="10"/>
      <c r="VFQ19" s="10"/>
      <c r="VFR19" s="10"/>
      <c r="VFS19" s="10"/>
      <c r="VFT19" s="10"/>
      <c r="VFU19" s="10"/>
      <c r="VFV19" s="10"/>
      <c r="VFW19" s="10"/>
      <c r="VFX19" s="10"/>
      <c r="VFY19" s="10"/>
      <c r="VFZ19" s="10"/>
      <c r="VGA19" s="10"/>
      <c r="VGB19" s="10"/>
      <c r="VGC19" s="10"/>
      <c r="VGD19" s="10"/>
      <c r="VGE19" s="10"/>
      <c r="VGF19" s="10"/>
      <c r="VGG19" s="10"/>
      <c r="VGH19" s="10"/>
      <c r="VGI19" s="10"/>
      <c r="VGJ19" s="10"/>
      <c r="VGK19" s="10"/>
      <c r="VGL19" s="10"/>
      <c r="VGM19" s="10"/>
      <c r="VGN19" s="10"/>
      <c r="VGO19" s="10"/>
      <c r="VGP19" s="10"/>
      <c r="VGQ19" s="10"/>
      <c r="VGR19" s="10"/>
      <c r="VGS19" s="10"/>
      <c r="VGT19" s="10"/>
      <c r="VGU19" s="10"/>
      <c r="VGV19" s="10"/>
      <c r="VGW19" s="10"/>
      <c r="VGX19" s="10"/>
      <c r="VGY19" s="10"/>
      <c r="VGZ19" s="10"/>
      <c r="VHA19" s="10"/>
      <c r="VHB19" s="10"/>
      <c r="VHC19" s="10"/>
      <c r="VHD19" s="10"/>
      <c r="VHE19" s="10"/>
      <c r="VHF19" s="10"/>
      <c r="VHG19" s="10"/>
      <c r="VHH19" s="10"/>
      <c r="VHI19" s="10"/>
      <c r="VHJ19" s="10"/>
      <c r="VHK19" s="10"/>
      <c r="VHL19" s="10"/>
      <c r="VHM19" s="10"/>
      <c r="VHN19" s="10"/>
      <c r="VHO19" s="10"/>
      <c r="VHP19" s="10"/>
      <c r="VHQ19" s="10"/>
      <c r="VHR19" s="10"/>
      <c r="VHS19" s="10"/>
      <c r="VHT19" s="10"/>
      <c r="VHU19" s="10"/>
      <c r="VHV19" s="10"/>
      <c r="VHW19" s="10"/>
      <c r="VHX19" s="10"/>
      <c r="VHY19" s="10"/>
      <c r="VHZ19" s="10"/>
      <c r="VIA19" s="10"/>
      <c r="VIB19" s="10"/>
      <c r="VIC19" s="10"/>
      <c r="VID19" s="10"/>
      <c r="VIE19" s="10"/>
      <c r="VIF19" s="10"/>
      <c r="VIG19" s="10"/>
      <c r="VIH19" s="10"/>
      <c r="VII19" s="10"/>
      <c r="VIJ19" s="10"/>
      <c r="VIK19" s="10"/>
      <c r="VIL19" s="10"/>
      <c r="VIM19" s="10"/>
      <c r="VIN19" s="10"/>
      <c r="VIO19" s="10"/>
      <c r="VIP19" s="10"/>
      <c r="VIQ19" s="10"/>
      <c r="VIR19" s="10"/>
      <c r="VIS19" s="10"/>
      <c r="VIT19" s="10"/>
      <c r="VIU19" s="10"/>
      <c r="VIV19" s="10"/>
      <c r="VIW19" s="10"/>
      <c r="VIX19" s="10"/>
      <c r="VIY19" s="10"/>
      <c r="VIZ19" s="10"/>
      <c r="VJA19" s="10"/>
      <c r="VJB19" s="10"/>
      <c r="VJC19" s="10"/>
      <c r="VJD19" s="10"/>
      <c r="VJE19" s="10"/>
      <c r="VJF19" s="10"/>
      <c r="VJG19" s="10"/>
      <c r="VJH19" s="10"/>
      <c r="VJI19" s="10"/>
      <c r="VJJ19" s="10"/>
      <c r="VJK19" s="10"/>
      <c r="VJL19" s="10"/>
      <c r="VJM19" s="10"/>
      <c r="VJN19" s="10"/>
      <c r="VJO19" s="10"/>
      <c r="VJP19" s="10"/>
      <c r="VJQ19" s="10"/>
      <c r="VJR19" s="10"/>
      <c r="VJS19" s="10"/>
      <c r="VJT19" s="10"/>
      <c r="VJU19" s="10"/>
      <c r="VJV19" s="10"/>
      <c r="VJW19" s="10"/>
      <c r="VJX19" s="10"/>
      <c r="VJY19" s="10"/>
      <c r="VJZ19" s="10"/>
      <c r="VKA19" s="10"/>
      <c r="VKB19" s="10"/>
      <c r="VKC19" s="10"/>
      <c r="VKD19" s="10"/>
      <c r="VKE19" s="10"/>
      <c r="VKF19" s="10"/>
      <c r="VKG19" s="10"/>
      <c r="VKH19" s="10"/>
      <c r="VKI19" s="10"/>
      <c r="VKJ19" s="10"/>
      <c r="VKK19" s="10"/>
      <c r="VKL19" s="10"/>
      <c r="VKM19" s="10"/>
      <c r="VKN19" s="10"/>
      <c r="VKO19" s="10"/>
      <c r="VKP19" s="10"/>
      <c r="VKQ19" s="10"/>
      <c r="VKR19" s="10"/>
      <c r="VKS19" s="10"/>
      <c r="VKT19" s="10"/>
      <c r="VKU19" s="10"/>
      <c r="VKV19" s="10"/>
      <c r="VKW19" s="10"/>
      <c r="VKX19" s="10"/>
      <c r="VKY19" s="10"/>
      <c r="VKZ19" s="10"/>
      <c r="VLA19" s="10"/>
      <c r="VLB19" s="10"/>
      <c r="VLC19" s="10"/>
      <c r="VLD19" s="10"/>
      <c r="VLE19" s="10"/>
      <c r="VLF19" s="10"/>
      <c r="VLG19" s="10"/>
      <c r="VLH19" s="10"/>
      <c r="VLI19" s="10"/>
      <c r="VLJ19" s="10"/>
      <c r="VLK19" s="10"/>
      <c r="VLL19" s="10"/>
      <c r="VLM19" s="10"/>
      <c r="VLN19" s="10"/>
      <c r="VLO19" s="10"/>
      <c r="VLP19" s="10"/>
      <c r="VLQ19" s="10"/>
      <c r="VLR19" s="10"/>
      <c r="VLS19" s="10"/>
      <c r="VLT19" s="10"/>
      <c r="VLU19" s="10"/>
      <c r="VLV19" s="10"/>
      <c r="VLW19" s="10"/>
      <c r="VLX19" s="10"/>
      <c r="VLY19" s="10"/>
      <c r="VLZ19" s="10"/>
      <c r="VMA19" s="10"/>
      <c r="VMB19" s="10"/>
      <c r="VMC19" s="10"/>
      <c r="VMD19" s="10"/>
      <c r="VME19" s="10"/>
      <c r="VMF19" s="10"/>
      <c r="VMG19" s="10"/>
      <c r="VMH19" s="10"/>
      <c r="VMI19" s="10"/>
      <c r="VMJ19" s="10"/>
      <c r="VMK19" s="10"/>
      <c r="VML19" s="10"/>
      <c r="VMM19" s="10"/>
      <c r="VMN19" s="10"/>
      <c r="VMO19" s="10"/>
      <c r="VMP19" s="10"/>
      <c r="VMQ19" s="10"/>
      <c r="VMR19" s="10"/>
      <c r="VMS19" s="10"/>
      <c r="VMT19" s="10"/>
      <c r="VMU19" s="10"/>
      <c r="VMV19" s="10"/>
      <c r="VMW19" s="10"/>
      <c r="VMX19" s="10"/>
      <c r="VMY19" s="10"/>
      <c r="VMZ19" s="10"/>
      <c r="VNA19" s="10"/>
      <c r="VNB19" s="10"/>
      <c r="VNC19" s="10"/>
      <c r="VND19" s="10"/>
      <c r="VNE19" s="10"/>
      <c r="VNF19" s="10"/>
      <c r="VNG19" s="10"/>
      <c r="VNH19" s="10"/>
      <c r="VNI19" s="10"/>
      <c r="VNJ19" s="10"/>
      <c r="VNK19" s="10"/>
      <c r="VNL19" s="10"/>
      <c r="VNM19" s="10"/>
      <c r="VNN19" s="10"/>
      <c r="VNO19" s="10"/>
      <c r="VNP19" s="10"/>
      <c r="VNQ19" s="10"/>
      <c r="VNR19" s="10"/>
      <c r="VNS19" s="10"/>
      <c r="VNT19" s="10"/>
      <c r="VNU19" s="10"/>
      <c r="VNV19" s="10"/>
      <c r="VNW19" s="10"/>
      <c r="VNX19" s="10"/>
      <c r="VNY19" s="10"/>
      <c r="VNZ19" s="10"/>
      <c r="VOA19" s="10"/>
      <c r="VOB19" s="10"/>
      <c r="VOC19" s="10"/>
      <c r="VOD19" s="10"/>
      <c r="VOE19" s="10"/>
      <c r="VOF19" s="10"/>
      <c r="VOG19" s="10"/>
      <c r="VOH19" s="10"/>
      <c r="VOI19" s="10"/>
      <c r="VOJ19" s="10"/>
      <c r="VOK19" s="10"/>
      <c r="VOL19" s="10"/>
      <c r="VOM19" s="10"/>
      <c r="VON19" s="10"/>
      <c r="VOO19" s="10"/>
      <c r="VOP19" s="10"/>
      <c r="VOQ19" s="10"/>
      <c r="VOR19" s="10"/>
      <c r="VOS19" s="10"/>
      <c r="VOT19" s="10"/>
      <c r="VOU19" s="10"/>
      <c r="VOV19" s="10"/>
      <c r="VOW19" s="10"/>
      <c r="VOX19" s="10"/>
      <c r="VOY19" s="10"/>
      <c r="VOZ19" s="10"/>
      <c r="VPA19" s="10"/>
      <c r="VPB19" s="10"/>
      <c r="VPC19" s="10"/>
      <c r="VPD19" s="10"/>
      <c r="VPE19" s="10"/>
      <c r="VPF19" s="10"/>
      <c r="VPG19" s="10"/>
      <c r="VPH19" s="10"/>
      <c r="VPI19" s="10"/>
      <c r="VPJ19" s="10"/>
      <c r="VPK19" s="10"/>
      <c r="VPL19" s="10"/>
      <c r="VPM19" s="10"/>
      <c r="VPN19" s="10"/>
      <c r="VPO19" s="10"/>
      <c r="VPP19" s="10"/>
      <c r="VPQ19" s="10"/>
      <c r="VPR19" s="10"/>
      <c r="VPS19" s="10"/>
      <c r="VPT19" s="10"/>
      <c r="VPU19" s="10"/>
      <c r="VPV19" s="10"/>
      <c r="VPW19" s="10"/>
      <c r="VPX19" s="10"/>
      <c r="VPY19" s="10"/>
      <c r="VPZ19" s="10"/>
      <c r="VQA19" s="10"/>
      <c r="VQB19" s="10"/>
      <c r="VQC19" s="10"/>
      <c r="VQD19" s="10"/>
      <c r="VQE19" s="10"/>
      <c r="VQF19" s="10"/>
      <c r="VQG19" s="10"/>
      <c r="VQH19" s="10"/>
      <c r="VQI19" s="10"/>
      <c r="VQJ19" s="10"/>
      <c r="VQK19" s="10"/>
      <c r="VQL19" s="10"/>
      <c r="VQM19" s="10"/>
      <c r="VQN19" s="10"/>
      <c r="VQO19" s="10"/>
      <c r="VQP19" s="10"/>
      <c r="VQQ19" s="10"/>
      <c r="VQR19" s="10"/>
      <c r="VQS19" s="10"/>
      <c r="VQT19" s="10"/>
      <c r="VQU19" s="10"/>
      <c r="VQV19" s="10"/>
      <c r="VQW19" s="10"/>
      <c r="VQX19" s="10"/>
      <c r="VQY19" s="10"/>
      <c r="VQZ19" s="10"/>
      <c r="VRA19" s="10"/>
      <c r="VRB19" s="10"/>
      <c r="VRC19" s="10"/>
      <c r="VRD19" s="10"/>
      <c r="VRE19" s="10"/>
      <c r="VRF19" s="10"/>
      <c r="VRG19" s="10"/>
      <c r="VRH19" s="10"/>
      <c r="VRI19" s="10"/>
      <c r="VRJ19" s="10"/>
      <c r="VRK19" s="10"/>
      <c r="VRL19" s="10"/>
      <c r="VRM19" s="10"/>
      <c r="VRN19" s="10"/>
      <c r="VRO19" s="10"/>
      <c r="VRP19" s="10"/>
      <c r="VRQ19" s="10"/>
      <c r="VRR19" s="10"/>
      <c r="VRS19" s="10"/>
      <c r="VRT19" s="10"/>
      <c r="VRU19" s="10"/>
      <c r="VRV19" s="10"/>
      <c r="VRW19" s="10"/>
      <c r="VRX19" s="10"/>
      <c r="VRY19" s="10"/>
      <c r="VRZ19" s="10"/>
      <c r="VSA19" s="10"/>
      <c r="VSB19" s="10"/>
      <c r="VSC19" s="10"/>
      <c r="VSD19" s="10"/>
      <c r="VSE19" s="10"/>
      <c r="VSF19" s="10"/>
      <c r="VSG19" s="10"/>
      <c r="VSH19" s="10"/>
      <c r="VSI19" s="10"/>
      <c r="VSJ19" s="10"/>
      <c r="VSK19" s="10"/>
      <c r="VSL19" s="10"/>
      <c r="VSM19" s="10"/>
      <c r="VSN19" s="10"/>
      <c r="VSO19" s="10"/>
      <c r="VSP19" s="10"/>
      <c r="VSQ19" s="10"/>
      <c r="VSR19" s="10"/>
      <c r="VSS19" s="10"/>
      <c r="VST19" s="10"/>
      <c r="VSU19" s="10"/>
      <c r="VSV19" s="10"/>
      <c r="VSW19" s="10"/>
      <c r="VSX19" s="10"/>
      <c r="VSY19" s="10"/>
      <c r="VSZ19" s="10"/>
      <c r="VTA19" s="10"/>
      <c r="VTB19" s="10"/>
      <c r="VTC19" s="10"/>
      <c r="VTD19" s="10"/>
      <c r="VTE19" s="10"/>
      <c r="VTF19" s="10"/>
      <c r="VTG19" s="10"/>
      <c r="VTH19" s="10"/>
      <c r="VTI19" s="10"/>
      <c r="VTJ19" s="10"/>
      <c r="VTK19" s="10"/>
      <c r="VTL19" s="10"/>
      <c r="VTM19" s="10"/>
      <c r="VTN19" s="10"/>
      <c r="VTO19" s="10"/>
      <c r="VTP19" s="10"/>
      <c r="VTQ19" s="10"/>
      <c r="VTR19" s="10"/>
      <c r="VTS19" s="10"/>
      <c r="VTT19" s="10"/>
      <c r="VTU19" s="10"/>
      <c r="VTV19" s="10"/>
      <c r="VTW19" s="10"/>
      <c r="VTX19" s="10"/>
      <c r="VTY19" s="10"/>
      <c r="VTZ19" s="10"/>
      <c r="VUA19" s="10"/>
      <c r="VUB19" s="10"/>
      <c r="VUC19" s="10"/>
      <c r="VUD19" s="10"/>
      <c r="VUE19" s="10"/>
      <c r="VUF19" s="10"/>
      <c r="VUG19" s="10"/>
      <c r="VUH19" s="10"/>
      <c r="VUI19" s="10"/>
      <c r="VUJ19" s="10"/>
      <c r="VUK19" s="10"/>
      <c r="VUL19" s="10"/>
      <c r="VUM19" s="10"/>
      <c r="VUN19" s="10"/>
      <c r="VUO19" s="10"/>
      <c r="VUP19" s="10"/>
      <c r="VUQ19" s="10"/>
      <c r="VUR19" s="10"/>
      <c r="VUS19" s="10"/>
      <c r="VUT19" s="10"/>
      <c r="VUU19" s="10"/>
      <c r="VUV19" s="10"/>
      <c r="VUW19" s="10"/>
      <c r="VUX19" s="10"/>
      <c r="VUY19" s="10"/>
      <c r="VUZ19" s="10"/>
      <c r="VVA19" s="10"/>
      <c r="VVB19" s="10"/>
      <c r="VVC19" s="10"/>
      <c r="VVD19" s="10"/>
      <c r="VVE19" s="10"/>
      <c r="VVF19" s="10"/>
      <c r="VVG19" s="10"/>
      <c r="VVH19" s="10"/>
      <c r="VVI19" s="10"/>
      <c r="VVJ19" s="10"/>
      <c r="VVK19" s="10"/>
      <c r="VVL19" s="10"/>
      <c r="VVM19" s="10"/>
      <c r="VVN19" s="10"/>
      <c r="VVO19" s="10"/>
      <c r="VVP19" s="10"/>
      <c r="VVQ19" s="10"/>
      <c r="VVR19" s="10"/>
      <c r="VVS19" s="10"/>
      <c r="VVT19" s="10"/>
      <c r="VVU19" s="10"/>
      <c r="VVV19" s="10"/>
      <c r="VVW19" s="10"/>
      <c r="VVX19" s="10"/>
      <c r="VVY19" s="10"/>
      <c r="VVZ19" s="10"/>
      <c r="VWA19" s="10"/>
      <c r="VWB19" s="10"/>
      <c r="VWC19" s="10"/>
      <c r="VWD19" s="10"/>
      <c r="VWE19" s="10"/>
      <c r="VWF19" s="10"/>
      <c r="VWG19" s="10"/>
      <c r="VWH19" s="10"/>
      <c r="VWI19" s="10"/>
      <c r="VWJ19" s="10"/>
      <c r="VWK19" s="10"/>
      <c r="VWL19" s="10"/>
      <c r="VWM19" s="10"/>
      <c r="VWN19" s="10"/>
      <c r="VWO19" s="10"/>
      <c r="VWP19" s="10"/>
      <c r="VWQ19" s="10"/>
      <c r="VWR19" s="10"/>
      <c r="VWS19" s="10"/>
      <c r="VWT19" s="10"/>
      <c r="VWU19" s="10"/>
      <c r="VWV19" s="10"/>
      <c r="VWW19" s="10"/>
      <c r="VWX19" s="10"/>
      <c r="VWY19" s="10"/>
      <c r="VWZ19" s="10"/>
      <c r="VXA19" s="10"/>
      <c r="VXB19" s="10"/>
      <c r="VXC19" s="10"/>
      <c r="VXD19" s="10"/>
      <c r="VXE19" s="10"/>
      <c r="VXF19" s="10"/>
      <c r="VXG19" s="10"/>
      <c r="VXH19" s="10"/>
      <c r="VXI19" s="10"/>
      <c r="VXJ19" s="10"/>
      <c r="VXK19" s="10"/>
      <c r="VXL19" s="10"/>
      <c r="VXM19" s="10"/>
      <c r="VXN19" s="10"/>
      <c r="VXO19" s="10"/>
      <c r="VXP19" s="10"/>
      <c r="VXQ19" s="10"/>
      <c r="VXR19" s="10"/>
      <c r="VXS19" s="10"/>
      <c r="VXT19" s="10"/>
      <c r="VXU19" s="10"/>
      <c r="VXV19" s="10"/>
      <c r="VXW19" s="10"/>
      <c r="VXX19" s="10"/>
      <c r="VXY19" s="10"/>
      <c r="VXZ19" s="10"/>
      <c r="VYA19" s="10"/>
      <c r="VYB19" s="10"/>
      <c r="VYC19" s="10"/>
      <c r="VYD19" s="10"/>
      <c r="VYE19" s="10"/>
      <c r="VYF19" s="10"/>
      <c r="VYG19" s="10"/>
      <c r="VYH19" s="10"/>
      <c r="VYI19" s="10"/>
      <c r="VYJ19" s="10"/>
      <c r="VYK19" s="10"/>
      <c r="VYL19" s="10"/>
      <c r="VYM19" s="10"/>
      <c r="VYN19" s="10"/>
      <c r="VYO19" s="10"/>
      <c r="VYP19" s="10"/>
      <c r="VYQ19" s="10"/>
      <c r="VYR19" s="10"/>
      <c r="VYS19" s="10"/>
      <c r="VYT19" s="10"/>
      <c r="VYU19" s="10"/>
      <c r="VYV19" s="10"/>
      <c r="VYW19" s="10"/>
      <c r="VYX19" s="10"/>
      <c r="VYY19" s="10"/>
      <c r="VYZ19" s="10"/>
      <c r="VZA19" s="10"/>
      <c r="VZB19" s="10"/>
      <c r="VZC19" s="10"/>
      <c r="VZD19" s="10"/>
      <c r="VZE19" s="10"/>
      <c r="VZF19" s="10"/>
      <c r="VZG19" s="10"/>
      <c r="VZH19" s="10"/>
      <c r="VZI19" s="10"/>
      <c r="VZJ19" s="10"/>
      <c r="VZK19" s="10"/>
      <c r="VZL19" s="10"/>
      <c r="VZM19" s="10"/>
      <c r="VZN19" s="10"/>
      <c r="VZO19" s="10"/>
      <c r="VZP19" s="10"/>
      <c r="VZQ19" s="10"/>
      <c r="VZR19" s="10"/>
      <c r="VZS19" s="10"/>
      <c r="VZT19" s="10"/>
      <c r="VZU19" s="10"/>
      <c r="VZV19" s="10"/>
      <c r="VZW19" s="10"/>
      <c r="VZX19" s="10"/>
      <c r="VZY19" s="10"/>
      <c r="VZZ19" s="10"/>
      <c r="WAA19" s="10"/>
      <c r="WAB19" s="10"/>
      <c r="WAC19" s="10"/>
      <c r="WAD19" s="10"/>
      <c r="WAE19" s="10"/>
      <c r="WAF19" s="10"/>
      <c r="WAG19" s="10"/>
      <c r="WAH19" s="10"/>
      <c r="WAI19" s="10"/>
      <c r="WAJ19" s="10"/>
      <c r="WAK19" s="10"/>
      <c r="WAL19" s="10"/>
      <c r="WAM19" s="10"/>
      <c r="WAN19" s="10"/>
      <c r="WAO19" s="10"/>
      <c r="WAP19" s="10"/>
      <c r="WAQ19" s="10"/>
      <c r="WAR19" s="10"/>
      <c r="WAS19" s="10"/>
      <c r="WAT19" s="10"/>
      <c r="WAU19" s="10"/>
      <c r="WAV19" s="10"/>
      <c r="WAW19" s="10"/>
      <c r="WAX19" s="10"/>
      <c r="WAY19" s="10"/>
      <c r="WAZ19" s="10"/>
      <c r="WBA19" s="10"/>
      <c r="WBB19" s="10"/>
      <c r="WBC19" s="10"/>
      <c r="WBD19" s="10"/>
      <c r="WBE19" s="10"/>
      <c r="WBF19" s="10"/>
      <c r="WBG19" s="10"/>
      <c r="WBH19" s="10"/>
      <c r="WBI19" s="10"/>
      <c r="WBJ19" s="10"/>
      <c r="WBK19" s="10"/>
      <c r="WBL19" s="10"/>
      <c r="WBM19" s="10"/>
      <c r="WBN19" s="10"/>
      <c r="WBO19" s="10"/>
      <c r="WBP19" s="10"/>
      <c r="WBQ19" s="10"/>
      <c r="WBR19" s="10"/>
      <c r="WBS19" s="10"/>
      <c r="WBT19" s="10"/>
      <c r="WBU19" s="10"/>
      <c r="WBV19" s="10"/>
      <c r="WBW19" s="10"/>
      <c r="WBX19" s="10"/>
      <c r="WBY19" s="10"/>
      <c r="WBZ19" s="10"/>
      <c r="WCA19" s="10"/>
      <c r="WCB19" s="10"/>
      <c r="WCC19" s="10"/>
      <c r="WCD19" s="10"/>
      <c r="WCE19" s="10"/>
      <c r="WCF19" s="10"/>
      <c r="WCG19" s="10"/>
      <c r="WCH19" s="10"/>
      <c r="WCI19" s="10"/>
      <c r="WCJ19" s="10"/>
      <c r="WCK19" s="10"/>
      <c r="WCL19" s="10"/>
      <c r="WCM19" s="10"/>
      <c r="WCN19" s="10"/>
      <c r="WCO19" s="10"/>
      <c r="WCP19" s="10"/>
      <c r="WCQ19" s="10"/>
      <c r="WCR19" s="10"/>
      <c r="WCS19" s="10"/>
      <c r="WCT19" s="10"/>
      <c r="WCU19" s="10"/>
      <c r="WCV19" s="10"/>
      <c r="WCW19" s="10"/>
      <c r="WCX19" s="10"/>
      <c r="WCY19" s="10"/>
      <c r="WCZ19" s="10"/>
      <c r="WDA19" s="10"/>
      <c r="WDB19" s="10"/>
      <c r="WDC19" s="10"/>
      <c r="WDD19" s="10"/>
      <c r="WDE19" s="10"/>
      <c r="WDF19" s="10"/>
      <c r="WDG19" s="10"/>
      <c r="WDH19" s="10"/>
      <c r="WDI19" s="10"/>
      <c r="WDJ19" s="10"/>
      <c r="WDK19" s="10"/>
      <c r="WDL19" s="10"/>
      <c r="WDM19" s="10"/>
      <c r="WDN19" s="10"/>
      <c r="WDO19" s="10"/>
      <c r="WDP19" s="10"/>
      <c r="WDQ19" s="10"/>
      <c r="WDR19" s="10"/>
      <c r="WDS19" s="10"/>
      <c r="WDT19" s="10"/>
      <c r="WDU19" s="10"/>
      <c r="WDV19" s="10"/>
      <c r="WDW19" s="10"/>
      <c r="WDX19" s="10"/>
      <c r="WDY19" s="10"/>
      <c r="WDZ19" s="10"/>
      <c r="WEA19" s="10"/>
      <c r="WEB19" s="10"/>
      <c r="WEC19" s="10"/>
      <c r="WED19" s="10"/>
      <c r="WEE19" s="10"/>
      <c r="WEF19" s="10"/>
      <c r="WEG19" s="10"/>
      <c r="WEH19" s="10"/>
      <c r="WEI19" s="10"/>
      <c r="WEJ19" s="10"/>
      <c r="WEK19" s="10"/>
      <c r="WEL19" s="10"/>
      <c r="WEM19" s="10"/>
      <c r="WEN19" s="10"/>
      <c r="WEO19" s="10"/>
      <c r="WEP19" s="10"/>
      <c r="WEQ19" s="10"/>
      <c r="WER19" s="10"/>
      <c r="WES19" s="10"/>
      <c r="WET19" s="10"/>
      <c r="WEU19" s="10"/>
      <c r="WEV19" s="10"/>
      <c r="WEW19" s="10"/>
      <c r="WEX19" s="10"/>
      <c r="WEY19" s="10"/>
      <c r="WEZ19" s="10"/>
      <c r="WFA19" s="10"/>
      <c r="WFB19" s="10"/>
      <c r="WFC19" s="10"/>
      <c r="WFD19" s="10"/>
      <c r="WFE19" s="10"/>
      <c r="WFF19" s="10"/>
      <c r="WFG19" s="10"/>
      <c r="WFH19" s="10"/>
      <c r="WFI19" s="10"/>
      <c r="WFJ19" s="10"/>
      <c r="WFK19" s="10"/>
      <c r="WFL19" s="10"/>
      <c r="WFM19" s="10"/>
      <c r="WFN19" s="10"/>
      <c r="WFO19" s="10"/>
      <c r="WFP19" s="10"/>
      <c r="WFQ19" s="10"/>
      <c r="WFR19" s="10"/>
      <c r="WFS19" s="10"/>
      <c r="WFT19" s="10"/>
      <c r="WFU19" s="10"/>
      <c r="WFV19" s="10"/>
      <c r="WFW19" s="10"/>
      <c r="WFX19" s="10"/>
      <c r="WFY19" s="10"/>
      <c r="WFZ19" s="10"/>
      <c r="WGA19" s="10"/>
      <c r="WGB19" s="10"/>
      <c r="WGC19" s="10"/>
      <c r="WGD19" s="10"/>
      <c r="WGE19" s="10"/>
      <c r="WGF19" s="10"/>
      <c r="WGG19" s="10"/>
      <c r="WGH19" s="10"/>
      <c r="WGI19" s="10"/>
      <c r="WGJ19" s="10"/>
      <c r="WGK19" s="10"/>
      <c r="WGL19" s="10"/>
      <c r="WGM19" s="10"/>
      <c r="WGN19" s="10"/>
      <c r="WGO19" s="10"/>
      <c r="WGP19" s="10"/>
      <c r="WGQ19" s="10"/>
      <c r="WGR19" s="10"/>
      <c r="WGS19" s="10"/>
      <c r="WGT19" s="10"/>
      <c r="WGU19" s="10"/>
      <c r="WGV19" s="10"/>
      <c r="WGW19" s="10"/>
      <c r="WGX19" s="10"/>
      <c r="WGY19" s="10"/>
      <c r="WGZ19" s="10"/>
      <c r="WHA19" s="10"/>
      <c r="WHB19" s="10"/>
      <c r="WHC19" s="10"/>
      <c r="WHD19" s="10"/>
      <c r="WHE19" s="10"/>
      <c r="WHF19" s="10"/>
      <c r="WHG19" s="10"/>
      <c r="WHH19" s="10"/>
      <c r="WHI19" s="10"/>
      <c r="WHJ19" s="10"/>
      <c r="WHK19" s="10"/>
      <c r="WHL19" s="10"/>
      <c r="WHM19" s="10"/>
      <c r="WHN19" s="10"/>
      <c r="WHO19" s="10"/>
      <c r="WHP19" s="10"/>
      <c r="WHQ19" s="10"/>
      <c r="WHR19" s="10"/>
      <c r="WHS19" s="10"/>
      <c r="WHT19" s="10"/>
      <c r="WHU19" s="10"/>
      <c r="WHV19" s="10"/>
      <c r="WHW19" s="10"/>
      <c r="WHX19" s="10"/>
      <c r="WHY19" s="10"/>
      <c r="WHZ19" s="10"/>
      <c r="WIA19" s="10"/>
      <c r="WIB19" s="10"/>
      <c r="WIC19" s="10"/>
      <c r="WID19" s="10"/>
      <c r="WIE19" s="10"/>
      <c r="WIF19" s="10"/>
      <c r="WIG19" s="10"/>
      <c r="WIH19" s="10"/>
      <c r="WII19" s="10"/>
      <c r="WIJ19" s="10"/>
      <c r="WIK19" s="10"/>
      <c r="WIL19" s="10"/>
      <c r="WIM19" s="10"/>
      <c r="WIN19" s="10"/>
      <c r="WIO19" s="10"/>
      <c r="WIP19" s="10"/>
      <c r="WIQ19" s="10"/>
      <c r="WIR19" s="10"/>
      <c r="WIS19" s="10"/>
      <c r="WIT19" s="10"/>
      <c r="WIU19" s="10"/>
      <c r="WIV19" s="10"/>
      <c r="WIW19" s="10"/>
      <c r="WIX19" s="10"/>
      <c r="WIY19" s="10"/>
      <c r="WIZ19" s="10"/>
      <c r="WJA19" s="10"/>
      <c r="WJB19" s="10"/>
      <c r="WJC19" s="10"/>
      <c r="WJD19" s="10"/>
      <c r="WJE19" s="10"/>
      <c r="WJF19" s="10"/>
      <c r="WJG19" s="10"/>
      <c r="WJH19" s="10"/>
      <c r="WJI19" s="10"/>
      <c r="WJJ19" s="10"/>
      <c r="WJK19" s="10"/>
      <c r="WJL19" s="10"/>
      <c r="WJM19" s="10"/>
      <c r="WJN19" s="10"/>
      <c r="WJO19" s="10"/>
      <c r="WJP19" s="10"/>
      <c r="WJQ19" s="10"/>
      <c r="WJR19" s="10"/>
      <c r="WJS19" s="10"/>
      <c r="WJT19" s="10"/>
      <c r="WJU19" s="10"/>
      <c r="WJV19" s="10"/>
      <c r="WJW19" s="10"/>
      <c r="WJX19" s="10"/>
      <c r="WJY19" s="10"/>
      <c r="WJZ19" s="10"/>
      <c r="WKA19" s="10"/>
      <c r="WKB19" s="10"/>
      <c r="WKC19" s="10"/>
      <c r="WKD19" s="10"/>
      <c r="WKE19" s="10"/>
      <c r="WKF19" s="10"/>
      <c r="WKG19" s="10"/>
      <c r="WKH19" s="10"/>
      <c r="WKI19" s="10"/>
      <c r="WKJ19" s="10"/>
      <c r="WKK19" s="10"/>
      <c r="WKL19" s="10"/>
      <c r="WKM19" s="10"/>
      <c r="WKN19" s="10"/>
      <c r="WKO19" s="10"/>
      <c r="WKP19" s="10"/>
      <c r="WKQ19" s="10"/>
      <c r="WKR19" s="10"/>
      <c r="WKS19" s="10"/>
      <c r="WKT19" s="10"/>
      <c r="WKU19" s="10"/>
      <c r="WKV19" s="10"/>
      <c r="WKW19" s="10"/>
      <c r="WKX19" s="10"/>
      <c r="WKY19" s="10"/>
      <c r="WKZ19" s="10"/>
      <c r="WLA19" s="10"/>
      <c r="WLB19" s="10"/>
      <c r="WLC19" s="10"/>
      <c r="WLD19" s="10"/>
      <c r="WLE19" s="10"/>
      <c r="WLF19" s="10"/>
      <c r="WLG19" s="10"/>
      <c r="WLH19" s="10"/>
      <c r="WLI19" s="10"/>
      <c r="WLJ19" s="10"/>
      <c r="WLK19" s="10"/>
      <c r="WLL19" s="10"/>
      <c r="WLM19" s="10"/>
      <c r="WLN19" s="10"/>
      <c r="WLO19" s="10"/>
      <c r="WLP19" s="10"/>
      <c r="WLQ19" s="10"/>
      <c r="WLR19" s="10"/>
      <c r="WLS19" s="10"/>
      <c r="WLT19" s="10"/>
      <c r="WLU19" s="10"/>
      <c r="WLV19" s="10"/>
      <c r="WLW19" s="10"/>
      <c r="WLX19" s="10"/>
      <c r="WLY19" s="10"/>
      <c r="WLZ19" s="10"/>
      <c r="WMA19" s="10"/>
      <c r="WMB19" s="10"/>
      <c r="WMC19" s="10"/>
      <c r="WMD19" s="10"/>
      <c r="WME19" s="10"/>
      <c r="WMF19" s="10"/>
      <c r="WMG19" s="10"/>
      <c r="WMH19" s="10"/>
      <c r="WMI19" s="10"/>
      <c r="WMJ19" s="10"/>
      <c r="WMK19" s="10"/>
      <c r="WML19" s="10"/>
      <c r="WMM19" s="10"/>
      <c r="WMN19" s="10"/>
      <c r="WMO19" s="10"/>
      <c r="WMP19" s="10"/>
      <c r="WMQ19" s="10"/>
      <c r="WMR19" s="10"/>
      <c r="WMS19" s="10"/>
      <c r="WMT19" s="10"/>
      <c r="WMU19" s="10"/>
      <c r="WMV19" s="10"/>
      <c r="WMW19" s="10"/>
      <c r="WMX19" s="10"/>
      <c r="WMY19" s="10"/>
      <c r="WMZ19" s="10"/>
      <c r="WNA19" s="10"/>
      <c r="WNB19" s="10"/>
      <c r="WNC19" s="10"/>
      <c r="WND19" s="10"/>
      <c r="WNE19" s="10"/>
      <c r="WNF19" s="10"/>
      <c r="WNG19" s="10"/>
      <c r="WNH19" s="10"/>
      <c r="WNI19" s="10"/>
      <c r="WNJ19" s="10"/>
      <c r="WNK19" s="10"/>
      <c r="WNL19" s="10"/>
      <c r="WNM19" s="10"/>
      <c r="WNN19" s="10"/>
      <c r="WNO19" s="10"/>
      <c r="WNP19" s="10"/>
      <c r="WNQ19" s="10"/>
      <c r="WNR19" s="10"/>
      <c r="WNS19" s="10"/>
      <c r="WNT19" s="10"/>
      <c r="WNU19" s="10"/>
      <c r="WNV19" s="10"/>
      <c r="WNW19" s="10"/>
      <c r="WNX19" s="10"/>
      <c r="WNY19" s="10"/>
      <c r="WNZ19" s="10"/>
      <c r="WOA19" s="10"/>
      <c r="WOB19" s="10"/>
      <c r="WOC19" s="10"/>
      <c r="WOD19" s="10"/>
      <c r="WOE19" s="10"/>
      <c r="WOF19" s="10"/>
      <c r="WOG19" s="10"/>
      <c r="WOH19" s="10"/>
      <c r="WOI19" s="10"/>
      <c r="WOJ19" s="10"/>
      <c r="WOK19" s="10"/>
      <c r="WOL19" s="10"/>
      <c r="WOM19" s="10"/>
      <c r="WON19" s="10"/>
      <c r="WOO19" s="10"/>
      <c r="WOP19" s="10"/>
      <c r="WOQ19" s="10"/>
      <c r="WOR19" s="10"/>
      <c r="WOS19" s="10"/>
      <c r="WOT19" s="10"/>
      <c r="WOU19" s="10"/>
      <c r="WOV19" s="10"/>
      <c r="WOW19" s="10"/>
      <c r="WOX19" s="10"/>
      <c r="WOY19" s="10"/>
      <c r="WOZ19" s="10"/>
      <c r="WPA19" s="10"/>
      <c r="WPB19" s="10"/>
      <c r="WPC19" s="10"/>
      <c r="WPD19" s="10"/>
      <c r="WPE19" s="10"/>
      <c r="WPF19" s="10"/>
      <c r="WPG19" s="10"/>
      <c r="WPH19" s="10"/>
      <c r="WPI19" s="10"/>
      <c r="WPJ19" s="10"/>
      <c r="WPK19" s="10"/>
      <c r="WPL19" s="10"/>
      <c r="WPM19" s="10"/>
      <c r="WPN19" s="10"/>
      <c r="WPO19" s="10"/>
      <c r="WPP19" s="10"/>
      <c r="WPQ19" s="10"/>
      <c r="WPR19" s="10"/>
      <c r="WPS19" s="10"/>
      <c r="WPT19" s="10"/>
      <c r="WPU19" s="10"/>
      <c r="WPV19" s="10"/>
      <c r="WPW19" s="10"/>
      <c r="WPX19" s="10"/>
      <c r="WPY19" s="10"/>
      <c r="WPZ19" s="10"/>
      <c r="WQA19" s="10"/>
      <c r="WQB19" s="10"/>
      <c r="WQC19" s="10"/>
      <c r="WQD19" s="10"/>
      <c r="WQE19" s="10"/>
      <c r="WQF19" s="10"/>
      <c r="WQG19" s="10"/>
      <c r="WQH19" s="10"/>
      <c r="WQI19" s="10"/>
      <c r="WQJ19" s="10"/>
      <c r="WQK19" s="10"/>
      <c r="WQL19" s="10"/>
      <c r="WQM19" s="10"/>
      <c r="WQN19" s="10"/>
      <c r="WQO19" s="10"/>
      <c r="WQP19" s="10"/>
      <c r="WQQ19" s="10"/>
      <c r="WQR19" s="10"/>
      <c r="WQS19" s="10"/>
      <c r="WQT19" s="10"/>
      <c r="WQU19" s="10"/>
      <c r="WQV19" s="10"/>
      <c r="WQW19" s="10"/>
      <c r="WQX19" s="10"/>
      <c r="WQY19" s="10"/>
      <c r="WQZ19" s="10"/>
      <c r="WRA19" s="10"/>
      <c r="WRB19" s="10"/>
      <c r="WRC19" s="10"/>
      <c r="WRD19" s="10"/>
      <c r="WRE19" s="10"/>
      <c r="WRF19" s="10"/>
      <c r="WRG19" s="10"/>
      <c r="WRH19" s="10"/>
      <c r="WRI19" s="10"/>
      <c r="WRJ19" s="10"/>
      <c r="WRK19" s="10"/>
      <c r="WRL19" s="10"/>
      <c r="WRM19" s="10"/>
      <c r="WRN19" s="10"/>
      <c r="WRO19" s="10"/>
      <c r="WRP19" s="10"/>
      <c r="WRQ19" s="10"/>
      <c r="WRR19" s="10"/>
      <c r="WRS19" s="10"/>
      <c r="WRT19" s="10"/>
      <c r="WRU19" s="10"/>
      <c r="WRV19" s="10"/>
      <c r="WRW19" s="10"/>
      <c r="WRX19" s="10"/>
      <c r="WRY19" s="10"/>
      <c r="WRZ19" s="10"/>
      <c r="WSA19" s="10"/>
      <c r="WSB19" s="10"/>
      <c r="WSC19" s="10"/>
      <c r="WSD19" s="10"/>
      <c r="WSE19" s="10"/>
      <c r="WSF19" s="10"/>
      <c r="WSG19" s="10"/>
      <c r="WSH19" s="10"/>
      <c r="WSI19" s="10"/>
      <c r="WSJ19" s="10"/>
      <c r="WSK19" s="10"/>
      <c r="WSL19" s="10"/>
      <c r="WSM19" s="10"/>
      <c r="WSN19" s="10"/>
      <c r="WSO19" s="10"/>
      <c r="WSP19" s="10"/>
      <c r="WSQ19" s="10"/>
      <c r="WSR19" s="10"/>
      <c r="WSS19" s="10"/>
      <c r="WST19" s="10"/>
      <c r="WSU19" s="10"/>
      <c r="WSV19" s="10"/>
      <c r="WSW19" s="10"/>
      <c r="WSX19" s="10"/>
      <c r="WSY19" s="10"/>
      <c r="WSZ19" s="10"/>
      <c r="WTA19" s="10"/>
      <c r="WTB19" s="10"/>
      <c r="WTC19" s="10"/>
      <c r="WTD19" s="10"/>
      <c r="WTE19" s="10"/>
      <c r="WTF19" s="10"/>
      <c r="WTG19" s="10"/>
      <c r="WTH19" s="10"/>
      <c r="WTI19" s="10"/>
      <c r="WTJ19" s="10"/>
      <c r="WTK19" s="10"/>
      <c r="WTL19" s="10"/>
      <c r="WTM19" s="10"/>
      <c r="WTN19" s="10"/>
      <c r="WTO19" s="10"/>
      <c r="WTP19" s="10"/>
      <c r="WTQ19" s="10"/>
      <c r="WTR19" s="10"/>
      <c r="WTS19" s="10"/>
      <c r="WTT19" s="10"/>
      <c r="WTU19" s="10"/>
      <c r="WTV19" s="10"/>
      <c r="WTW19" s="10"/>
      <c r="WTX19" s="10"/>
      <c r="WTY19" s="10"/>
      <c r="WTZ19" s="10"/>
      <c r="WUA19" s="10"/>
      <c r="WUB19" s="10"/>
      <c r="WUC19" s="10"/>
      <c r="WUD19" s="10"/>
      <c r="WUE19" s="10"/>
      <c r="WUF19" s="10"/>
      <c r="WUG19" s="10"/>
      <c r="WUH19" s="10"/>
      <c r="WUI19" s="10"/>
      <c r="WUJ19" s="10"/>
      <c r="WUK19" s="10"/>
      <c r="WUL19" s="10"/>
      <c r="WUM19" s="10"/>
      <c r="WUN19" s="10"/>
      <c r="WUO19" s="10"/>
      <c r="WUP19" s="10"/>
      <c r="WUQ19" s="10"/>
      <c r="WUR19" s="10"/>
      <c r="WUS19" s="10"/>
      <c r="WUT19" s="10"/>
      <c r="WUU19" s="10"/>
      <c r="WUV19" s="10"/>
      <c r="WUW19" s="10"/>
      <c r="WUX19" s="10"/>
      <c r="WUY19" s="10"/>
      <c r="WUZ19" s="10"/>
      <c r="WVA19" s="10"/>
      <c r="WVB19" s="10"/>
      <c r="WVC19" s="10"/>
      <c r="WVD19" s="10"/>
      <c r="WVE19" s="10"/>
      <c r="WVF19" s="10"/>
      <c r="WVG19" s="10"/>
      <c r="WVH19" s="10"/>
      <c r="WVI19" s="10"/>
      <c r="WVJ19" s="10"/>
      <c r="WVK19" s="10"/>
      <c r="WVL19" s="10"/>
      <c r="WVM19" s="10"/>
      <c r="WVN19" s="10"/>
      <c r="WVO19" s="10"/>
      <c r="WVP19" s="10"/>
      <c r="WVQ19" s="10"/>
      <c r="WVR19" s="10"/>
      <c r="WVS19" s="10"/>
      <c r="WVT19" s="10"/>
      <c r="WVU19" s="10"/>
      <c r="WVV19" s="10"/>
      <c r="WVW19" s="10"/>
      <c r="WVX19" s="10"/>
      <c r="WVY19" s="10"/>
      <c r="WVZ19" s="10"/>
      <c r="WWA19" s="10"/>
      <c r="WWB19" s="10"/>
      <c r="WWC19" s="10"/>
      <c r="WWD19" s="10"/>
      <c r="WWE19" s="10"/>
      <c r="WWF19" s="10"/>
      <c r="WWG19" s="10"/>
      <c r="WWH19" s="10"/>
      <c r="WWI19" s="10"/>
      <c r="WWJ19" s="10"/>
      <c r="WWK19" s="10"/>
      <c r="WWL19" s="10"/>
      <c r="WWM19" s="10"/>
      <c r="WWN19" s="10"/>
      <c r="WWO19" s="10"/>
      <c r="WWP19" s="10"/>
      <c r="WWQ19" s="10"/>
      <c r="WWR19" s="10"/>
      <c r="WWS19" s="10"/>
      <c r="WWT19" s="10"/>
      <c r="WWU19" s="10"/>
      <c r="WWV19" s="10"/>
      <c r="WWW19" s="10"/>
      <c r="WWX19" s="10"/>
      <c r="WWY19" s="10"/>
      <c r="WWZ19" s="10"/>
      <c r="WXA19" s="10"/>
      <c r="WXB19" s="10"/>
      <c r="WXC19" s="10"/>
      <c r="WXD19" s="10"/>
      <c r="WXE19" s="10"/>
      <c r="WXF19" s="10"/>
      <c r="WXG19" s="10"/>
      <c r="WXH19" s="10"/>
      <c r="WXI19" s="10"/>
      <c r="WXJ19" s="10"/>
      <c r="WXK19" s="10"/>
      <c r="WXL19" s="10"/>
      <c r="WXM19" s="10"/>
      <c r="WXN19" s="10"/>
      <c r="WXO19" s="10"/>
      <c r="WXP19" s="10"/>
      <c r="WXQ19" s="10"/>
      <c r="WXR19" s="10"/>
      <c r="WXS19" s="10"/>
      <c r="WXT19" s="10"/>
      <c r="WXU19" s="10"/>
      <c r="WXV19" s="10"/>
      <c r="WXW19" s="10"/>
      <c r="WXX19" s="10"/>
      <c r="WXY19" s="10"/>
      <c r="WXZ19" s="10"/>
      <c r="WYA19" s="10"/>
      <c r="WYB19" s="10"/>
      <c r="WYC19" s="10"/>
      <c r="WYD19" s="10"/>
      <c r="WYE19" s="10"/>
      <c r="WYF19" s="10"/>
      <c r="WYG19" s="10"/>
      <c r="WYH19" s="10"/>
      <c r="WYI19" s="10"/>
      <c r="WYJ19" s="10"/>
      <c r="WYK19" s="10"/>
      <c r="WYL19" s="10"/>
      <c r="WYM19" s="10"/>
      <c r="WYN19" s="10"/>
      <c r="WYO19" s="10"/>
      <c r="WYP19" s="10"/>
      <c r="WYQ19" s="10"/>
      <c r="WYR19" s="10"/>
      <c r="WYS19" s="10"/>
      <c r="WYT19" s="10"/>
      <c r="WYU19" s="10"/>
      <c r="WYV19" s="10"/>
      <c r="WYW19" s="10"/>
      <c r="WYX19" s="10"/>
      <c r="WYY19" s="10"/>
      <c r="WYZ19" s="10"/>
      <c r="WZA19" s="10"/>
      <c r="WZB19" s="10"/>
      <c r="WZC19" s="10"/>
      <c r="WZD19" s="10"/>
      <c r="WZE19" s="10"/>
      <c r="WZF19" s="10"/>
      <c r="WZG19" s="10"/>
      <c r="WZH19" s="10"/>
      <c r="WZI19" s="10"/>
      <c r="WZJ19" s="10"/>
      <c r="WZK19" s="10"/>
      <c r="WZL19" s="10"/>
      <c r="WZM19" s="10"/>
      <c r="WZN19" s="10"/>
      <c r="WZO19" s="10"/>
      <c r="WZP19" s="10"/>
      <c r="WZQ19" s="10"/>
      <c r="WZR19" s="10"/>
      <c r="WZS19" s="10"/>
      <c r="WZT19" s="10"/>
      <c r="WZU19" s="10"/>
      <c r="WZV19" s="10"/>
      <c r="WZW19" s="10"/>
      <c r="WZX19" s="10"/>
      <c r="WZY19" s="10"/>
      <c r="WZZ19" s="10"/>
      <c r="XAA19" s="10"/>
      <c r="XAB19" s="10"/>
      <c r="XAC19" s="10"/>
      <c r="XAD19" s="10"/>
      <c r="XAE19" s="10"/>
      <c r="XAF19" s="10"/>
      <c r="XAG19" s="10"/>
      <c r="XAH19" s="10"/>
      <c r="XAI19" s="10"/>
      <c r="XAJ19" s="10"/>
      <c r="XAK19" s="10"/>
      <c r="XAL19" s="10"/>
      <c r="XAM19" s="10"/>
      <c r="XAN19" s="10"/>
      <c r="XAO19" s="10"/>
      <c r="XAP19" s="10"/>
      <c r="XAQ19" s="10"/>
      <c r="XAR19" s="10"/>
      <c r="XAS19" s="10"/>
      <c r="XAT19" s="10"/>
      <c r="XAU19" s="10"/>
      <c r="XAV19" s="10"/>
      <c r="XAW19" s="10"/>
      <c r="XAX19" s="10"/>
      <c r="XAY19" s="10"/>
      <c r="XAZ19" s="10"/>
      <c r="XBA19" s="10"/>
      <c r="XBB19" s="10"/>
      <c r="XBC19" s="10"/>
      <c r="XBD19" s="10"/>
      <c r="XBE19" s="10"/>
      <c r="XBF19" s="10"/>
      <c r="XBG19" s="10"/>
      <c r="XBH19" s="10"/>
      <c r="XBI19" s="10"/>
      <c r="XBJ19" s="10"/>
      <c r="XBK19" s="10"/>
      <c r="XBL19" s="10"/>
      <c r="XBM19" s="10"/>
      <c r="XBN19" s="10"/>
      <c r="XBO19" s="10"/>
      <c r="XBP19" s="10"/>
      <c r="XBQ19" s="10"/>
      <c r="XBR19" s="10"/>
      <c r="XBS19" s="10"/>
      <c r="XBT19" s="10"/>
      <c r="XBU19" s="10"/>
      <c r="XBV19" s="10"/>
      <c r="XBW19" s="10"/>
      <c r="XBX19" s="10"/>
      <c r="XBY19" s="10"/>
      <c r="XBZ19" s="10"/>
      <c r="XCA19" s="10"/>
      <c r="XCB19" s="10"/>
      <c r="XCC19" s="10"/>
      <c r="XCD19" s="10"/>
      <c r="XCE19" s="10"/>
      <c r="XCF19" s="10"/>
      <c r="XCG19" s="10"/>
      <c r="XCH19" s="10"/>
      <c r="XCI19" s="10"/>
      <c r="XCJ19" s="10"/>
      <c r="XCK19" s="10"/>
      <c r="XCL19" s="10"/>
      <c r="XCM19" s="10"/>
      <c r="XCN19" s="10"/>
      <c r="XCO19" s="10"/>
      <c r="XCP19" s="10"/>
      <c r="XCQ19" s="10"/>
      <c r="XCR19" s="10"/>
      <c r="XCS19" s="10"/>
      <c r="XCT19" s="10"/>
      <c r="XCU19" s="10"/>
      <c r="XCV19" s="10"/>
      <c r="XCW19" s="10"/>
      <c r="XCX19" s="10"/>
      <c r="XCY19" s="10"/>
      <c r="XCZ19" s="10"/>
      <c r="XDA19" s="10"/>
      <c r="XDB19" s="10"/>
      <c r="XDC19" s="10"/>
      <c r="XDD19" s="10"/>
      <c r="XDE19" s="10"/>
      <c r="XDF19" s="10"/>
      <c r="XDG19" s="10"/>
      <c r="XDH19" s="10"/>
      <c r="XDI19" s="10"/>
      <c r="XDJ19" s="10"/>
      <c r="XDK19" s="10"/>
      <c r="XDL19" s="10"/>
      <c r="XDM19" s="10"/>
      <c r="XDN19" s="10"/>
      <c r="XDO19" s="10"/>
      <c r="XDP19" s="10"/>
      <c r="XDQ19" s="10"/>
      <c r="XDR19" s="10"/>
      <c r="XDS19" s="10"/>
      <c r="XDT19" s="10"/>
      <c r="XDU19" s="10"/>
      <c r="XDV19" s="10"/>
      <c r="XDW19" s="10"/>
      <c r="XDX19" s="10"/>
      <c r="XDY19" s="10"/>
      <c r="XDZ19" s="10"/>
      <c r="XEA19" s="10"/>
      <c r="XEB19" s="10"/>
      <c r="XEC19" s="10"/>
      <c r="XED19" s="10"/>
      <c r="XEE19" s="10"/>
      <c r="XEF19" s="10"/>
      <c r="XEG19" s="10"/>
      <c r="XEH19" s="10"/>
      <c r="XEI19" s="10"/>
      <c r="XEJ19" s="10"/>
      <c r="XEK19" s="10"/>
      <c r="XEL19" s="10"/>
      <c r="XEM19" s="10"/>
      <c r="XEN19" s="10"/>
      <c r="XEO19" s="10"/>
      <c r="XEP19" s="10"/>
      <c r="XEQ19" s="10"/>
      <c r="XER19" s="10"/>
      <c r="XES19" s="10"/>
      <c r="XET19" s="10"/>
      <c r="XEU19" s="10"/>
      <c r="XEV19" s="10"/>
      <c r="XEW19" s="10"/>
      <c r="XEX19" s="10"/>
      <c r="XEY19" s="10"/>
      <c r="XEZ19" s="10"/>
      <c r="XFA19" s="10"/>
      <c r="XFB19" s="10"/>
      <c r="XFC19" s="10"/>
      <c r="XFD19" s="10"/>
    </row>
    <row r="20" spans="5:16384" x14ac:dyDescent="0.35">
      <c r="G20" s="15"/>
      <c r="H20" s="15"/>
      <c r="I20" s="16"/>
      <c r="J20" s="17"/>
      <c r="K20" s="17"/>
    </row>
    <row r="22" spans="5:16384" x14ac:dyDescent="0.35">
      <c r="G22" s="18" t="s">
        <v>486</v>
      </c>
    </row>
    <row r="23" spans="5:16384" x14ac:dyDescent="0.35">
      <c r="G23" s="127" t="s">
        <v>449</v>
      </c>
      <c r="H23" s="127" t="s">
        <v>448</v>
      </c>
      <c r="I23" s="129" t="s">
        <v>457</v>
      </c>
      <c r="J23" s="129" t="s">
        <v>451</v>
      </c>
      <c r="K23" s="129" t="s">
        <v>452</v>
      </c>
      <c r="L23" s="130" t="s">
        <v>453</v>
      </c>
      <c r="M23" s="131"/>
      <c r="N23" s="132"/>
      <c r="O23" s="126" t="s">
        <v>452</v>
      </c>
      <c r="P23" s="126"/>
      <c r="Q23" s="126"/>
    </row>
    <row r="24" spans="5:16384" x14ac:dyDescent="0.35">
      <c r="G24" s="128"/>
      <c r="H24" s="128"/>
      <c r="I24" s="129"/>
      <c r="J24" s="129"/>
      <c r="K24" s="129"/>
      <c r="L24" s="19" t="s">
        <v>454</v>
      </c>
      <c r="M24" s="19" t="s">
        <v>455</v>
      </c>
      <c r="N24" s="19" t="s">
        <v>456</v>
      </c>
      <c r="O24" s="19" t="s">
        <v>454</v>
      </c>
      <c r="P24" s="19" t="s">
        <v>455</v>
      </c>
      <c r="Q24" s="19" t="s">
        <v>456</v>
      </c>
    </row>
    <row r="25" spans="5:16384" x14ac:dyDescent="0.35">
      <c r="G25" s="15" t="str">
        <f>_xlfn.XLOOKUP(H25,Rating!A:A,Rating!B:B,"",0)</f>
        <v>DBV</v>
      </c>
      <c r="H25" s="15" t="str" cm="1">
        <f t="array" ref="H25:H26">IFERROR(_xlfn._xlws.FILTER(Rating!A:A,Rating!N:N="Yes"),"")</f>
        <v>CONG TY CP TAP DOAN BAO HIEM DBV</v>
      </c>
      <c r="I25" s="16" t="str">
        <f>_xlfn.XLOOKUP(H25,Rating!A:A,Rating!C:C,"",0)</f>
        <v>CTBH</v>
      </c>
      <c r="J25" s="16" t="str">
        <f>_xlfn.XLOOKUP(H25,Rating!A:A,Rating!D:D,"",0)</f>
        <v>BBB</v>
      </c>
      <c r="K25" s="17">
        <v>46182</v>
      </c>
      <c r="L25" s="114">
        <f>_xlfn.XLOOKUP(H25,Rating!A:A,Rating!F:F,"",0)</f>
        <v>0</v>
      </c>
      <c r="M25" s="114">
        <f>_xlfn.XLOOKUP(H25,Rating!A:A,Rating!H:H,"",0)</f>
        <v>0</v>
      </c>
      <c r="N25" s="114">
        <f>_xlfn.XLOOKUP(H25,Rating!A:A,Rating!J:J,"",0)</f>
        <v>0</v>
      </c>
      <c r="O25" s="115">
        <f>_xlfn.XLOOKUP(H25,Rating!A:A,Rating!G:G,"-",0)</f>
        <v>0</v>
      </c>
      <c r="P25" s="114">
        <f>_xlfn.XLOOKUP(H25,Rating!A:A,Rating!I:I,"",0)</f>
        <v>0</v>
      </c>
      <c r="Q25" s="114">
        <f>_xlfn.XLOOKUP(H25,Rating!A:A,Rating!K:K,"",0)</f>
        <v>0</v>
      </c>
    </row>
    <row r="26" spans="5:16384" x14ac:dyDescent="0.35">
      <c r="G26" s="15" t="str">
        <f>_xlfn.XLOOKUP(H26,Rating!A:A,Rating!B:B,"",0)</f>
        <v>MFKR</v>
      </c>
      <c r="H26" s="15" t="str">
        <v>KOMPANION BANK CLOSED JOINT STOCK COMPANY</v>
      </c>
      <c r="I26" s="16" t="str">
        <f>_xlfn.XLOOKUP(H26,Rating!A:A,Rating!C:C,"",0)</f>
        <v>NHNN</v>
      </c>
      <c r="J26" s="16" t="str">
        <f>_xlfn.XLOOKUP(H26,Rating!A:A,Rating!D:D,"",0)</f>
        <v>BBB</v>
      </c>
      <c r="K26" s="17">
        <f>_xlfn.XLOOKUP(H26,Rating!A:A,Rating!E:E,"",0)</f>
        <v>46182</v>
      </c>
      <c r="L26" s="114">
        <f>_xlfn.XLOOKUP(H26,Rating!A:A,Rating!F:F,"",0)</f>
        <v>0</v>
      </c>
      <c r="M26" s="114">
        <f>_xlfn.XLOOKUP(H26,Rating!A:A,Rating!H:H,"",0)</f>
        <v>0</v>
      </c>
      <c r="N26" s="114">
        <f>_xlfn.XLOOKUP(H26,Rating!A:A,Rating!J:J,"",0)</f>
        <v>0</v>
      </c>
      <c r="O26" s="115">
        <f>_xlfn.XLOOKUP(H26,Rating!A:A,Rating!G:G,"",0)</f>
        <v>0</v>
      </c>
      <c r="P26" s="114">
        <f>_xlfn.XLOOKUP(H26,Rating!A:A,Rating!I:I,"",0)</f>
        <v>0</v>
      </c>
      <c r="Q26" s="114">
        <f>_xlfn.XLOOKUP(H26,Rating!A:A,Rating!K:K,"",0)</f>
        <v>0</v>
      </c>
    </row>
    <row r="27" spans="5:16384" x14ac:dyDescent="0.35">
      <c r="G27" s="15"/>
      <c r="H27" s="15"/>
      <c r="I27" s="16"/>
      <c r="J27" s="16"/>
      <c r="K27" s="17"/>
      <c r="L27" s="114">
        <f>_xlfn.XLOOKUP(H27,Rating!A:A,Rating!F:F,"",0)</f>
        <v>0</v>
      </c>
      <c r="M27" s="114">
        <f>_xlfn.XLOOKUP(H27,Rating!A:A,Rating!H:H,"",0)</f>
        <v>0</v>
      </c>
      <c r="N27" s="114">
        <f>_xlfn.XLOOKUP(H27,Rating!A:A,Rating!J:J,"",0)</f>
        <v>0</v>
      </c>
      <c r="O27" s="115">
        <f>_xlfn.XLOOKUP(H27,Rating!A:A,Rating!G:G,"",0)</f>
        <v>0</v>
      </c>
      <c r="P27" s="114">
        <f>_xlfn.XLOOKUP(H27,Rating!A:A,Rating!I:I,"",0)</f>
        <v>0</v>
      </c>
      <c r="Q27" s="114">
        <f>_xlfn.XLOOKUP(H27,Rating!A:A,Rating!K:K,"",0)</f>
        <v>0</v>
      </c>
    </row>
    <row r="28" spans="5:16384" x14ac:dyDescent="0.35">
      <c r="G28" s="15"/>
      <c r="H28" s="15"/>
      <c r="I28" s="16"/>
      <c r="J28" s="16"/>
      <c r="K28" s="17"/>
      <c r="L28" s="114">
        <f>_xlfn.XLOOKUP(H28,Rating!A:A,Rating!F:F,"",0)</f>
        <v>0</v>
      </c>
      <c r="M28" s="114">
        <f>_xlfn.XLOOKUP(H28,Rating!A:A,Rating!H:H,"",0)</f>
        <v>0</v>
      </c>
      <c r="N28" s="114">
        <f>_xlfn.XLOOKUP(H28,Rating!A:A,Rating!J:J,"",0)</f>
        <v>0</v>
      </c>
      <c r="O28" s="115">
        <f>_xlfn.XLOOKUP(H28,Rating!A:A,Rating!G:G,"",0)</f>
        <v>0</v>
      </c>
      <c r="P28" s="114">
        <f>_xlfn.XLOOKUP(H28,Rating!A:A,Rating!I:I,"",0)</f>
        <v>0</v>
      </c>
      <c r="Q28" s="114">
        <f>_xlfn.XLOOKUP(H28,Rating!A:A,Rating!K:K,"",0)</f>
        <v>0</v>
      </c>
    </row>
    <row r="29" spans="5:16384" x14ac:dyDescent="0.35">
      <c r="G29" s="15"/>
      <c r="H29" s="15"/>
      <c r="I29" s="16"/>
      <c r="J29" s="16"/>
      <c r="K29" s="17"/>
      <c r="L29" s="114">
        <f>_xlfn.XLOOKUP(H29,Rating!A:A,Rating!F:F,"",0)</f>
        <v>0</v>
      </c>
      <c r="M29" s="114">
        <f>_xlfn.XLOOKUP(H29,Rating!A:A,Rating!H:H,"",0)</f>
        <v>0</v>
      </c>
      <c r="N29" s="114">
        <f>_xlfn.XLOOKUP(H29,Rating!A:A,Rating!J:J,"",0)</f>
        <v>0</v>
      </c>
      <c r="O29" s="115">
        <f>_xlfn.XLOOKUP(H29,Rating!A:A,Rating!G:G,"",0)</f>
        <v>0</v>
      </c>
      <c r="P29" s="114">
        <f>_xlfn.XLOOKUP(H29,Rating!A:A,Rating!I:I,"",0)</f>
        <v>0</v>
      </c>
      <c r="Q29" s="114">
        <f>_xlfn.XLOOKUP(H29,Rating!A:A,Rating!K:K,"",0)</f>
        <v>0</v>
      </c>
    </row>
  </sheetData>
  <mergeCells count="7">
    <mergeCell ref="O23:Q23"/>
    <mergeCell ref="G23:G24"/>
    <mergeCell ref="H23:H24"/>
    <mergeCell ref="I23:I24"/>
    <mergeCell ref="J23:J24"/>
    <mergeCell ref="K23:K24"/>
    <mergeCell ref="L23:N23"/>
  </mergeCells>
  <hyperlinks>
    <hyperlink ref="C7" r:id="rId1" display="\\filesrv01.msb.com.vn\06.Khoi Quan Ly Rui Ro\02.Trung Tam QLRR Thi Truong\02.Phong GSRRTT\05.Report\Theo doi\BOND\01.Bond Report\02.Monthly\03.FIBond_Internal rating\Backup\" xr:uid="{37BD7D99-4F0A-4E94-925C-280D35163380}"/>
  </hyperlinks>
  <pageMargins left="0.7" right="0.7" top="0.75" bottom="0.75" header="0.3" footer="0.3"/>
  <ignoredErrors>
    <ignoredError sqref="C8:C9" calculatedColumn="1"/>
  </ignoredErrors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B0B4A-0BBB-4EC3-8BC3-635C32A8945D}">
  <sheetPr codeName="Sheet6"/>
  <dimension ref="A1:AQ67"/>
  <sheetViews>
    <sheetView showGridLines="0" workbookViewId="0">
      <pane ySplit="1" topLeftCell="A2" activePane="bottomLeft" state="frozen"/>
      <selection pane="bottomLeft" activeCell="H10" sqref="A1:H10"/>
    </sheetView>
  </sheetViews>
  <sheetFormatPr defaultColWidth="9.09765625" defaultRowHeight="16.100000000000001" x14ac:dyDescent="0.3"/>
  <cols>
    <col min="1" max="3" width="12.296875" style="54" customWidth="1"/>
    <col min="4" max="5" width="18.09765625" style="54" customWidth="1"/>
    <col min="6" max="6" width="26.8984375" style="97" bestFit="1" customWidth="1"/>
    <col min="7" max="8" width="18.09765625" style="54" customWidth="1"/>
    <col min="9" max="9" width="9.09765625" style="54"/>
    <col min="10" max="10" width="15.69921875" style="54" customWidth="1"/>
    <col min="11" max="11" width="12.8984375" style="54" bestFit="1" customWidth="1"/>
    <col min="12" max="12" width="13.69921875" style="86" bestFit="1" customWidth="1"/>
    <col min="13" max="13" width="8.69921875" style="44" customWidth="1"/>
    <col min="14" max="14" width="12.69921875" style="87" bestFit="1" customWidth="1"/>
    <col min="15" max="15" width="8.8984375" style="88" customWidth="1"/>
    <col min="16" max="16" width="8.8984375" style="52" customWidth="1"/>
    <col min="17" max="17" width="8.8984375" style="44" customWidth="1"/>
    <col min="18" max="18" width="8" style="52" customWidth="1"/>
    <col min="19" max="19" width="8" style="44" customWidth="1"/>
    <col min="20" max="20" width="8.296875" style="52" customWidth="1"/>
    <col min="21" max="21" width="10.8984375" style="44" bestFit="1" customWidth="1"/>
    <col min="22" max="22" width="15.69921875" style="54" customWidth="1"/>
    <col min="23" max="23" width="12.09765625" style="54" bestFit="1" customWidth="1"/>
    <col min="24" max="24" width="52.59765625" style="54" bestFit="1" customWidth="1"/>
    <col min="25" max="25" width="15.59765625" style="97" bestFit="1" customWidth="1"/>
    <col min="26" max="26" width="6.69921875" style="54" bestFit="1" customWidth="1"/>
    <col min="27" max="27" width="11.8984375" style="54" bestFit="1" customWidth="1"/>
    <col min="28" max="28" width="7.59765625" style="54" bestFit="1" customWidth="1"/>
    <col min="29" max="29" width="13.69921875" style="54" bestFit="1" customWidth="1"/>
    <col min="30" max="30" width="12.296875" style="54" bestFit="1" customWidth="1"/>
    <col min="31" max="31" width="14.3984375" style="54" bestFit="1" customWidth="1"/>
    <col min="32" max="32" width="11.5" style="54" bestFit="1" customWidth="1"/>
    <col min="33" max="33" width="14.59765625" style="97" bestFit="1" customWidth="1"/>
    <col min="34" max="34" width="12.296875" style="54" customWidth="1"/>
    <col min="35" max="35" width="13.09765625" style="97" customWidth="1"/>
    <col min="36" max="36" width="12.296875" style="97" customWidth="1"/>
    <col min="37" max="37" width="9.09765625" style="55"/>
    <col min="38" max="38" width="9.09765625" style="98"/>
    <col min="39" max="39" width="13.8984375" style="54" bestFit="1" customWidth="1"/>
    <col min="40" max="40" width="21.5" style="54" bestFit="1" customWidth="1"/>
    <col min="41" max="41" width="19.8984375" style="54" bestFit="1" customWidth="1"/>
    <col min="42" max="42" width="13.8984375" style="54" bestFit="1" customWidth="1"/>
    <col min="43" max="43" width="21.5" style="54" bestFit="1" customWidth="1"/>
    <col min="44" max="44" width="19.8984375" style="54" bestFit="1" customWidth="1"/>
    <col min="45" max="16384" width="9.09765625" style="54"/>
  </cols>
  <sheetData>
    <row r="1" spans="1:43" s="44" customFormat="1" ht="32.15" x14ac:dyDescent="0.35">
      <c r="A1" s="136" t="s">
        <v>441</v>
      </c>
      <c r="B1" s="136" t="s">
        <v>442</v>
      </c>
      <c r="C1" s="136" t="s">
        <v>466</v>
      </c>
      <c r="D1" s="137" t="s">
        <v>469</v>
      </c>
      <c r="E1" s="138"/>
      <c r="F1" s="139"/>
      <c r="G1" s="133" t="s">
        <v>470</v>
      </c>
      <c r="H1" s="133"/>
      <c r="J1" s="45" t="s">
        <v>512</v>
      </c>
      <c r="K1" s="46" t="s">
        <v>475</v>
      </c>
      <c r="L1" s="47" t="s">
        <v>476</v>
      </c>
      <c r="M1" s="48" t="s">
        <v>443</v>
      </c>
      <c r="N1" s="48" t="s">
        <v>477</v>
      </c>
      <c r="O1" s="48" t="s">
        <v>478</v>
      </c>
      <c r="P1" s="48" t="s">
        <v>479</v>
      </c>
      <c r="Q1" s="48" t="s">
        <v>480</v>
      </c>
      <c r="R1" s="49" t="s">
        <v>485</v>
      </c>
      <c r="S1" s="50" t="s">
        <v>481</v>
      </c>
      <c r="T1" s="51" t="s">
        <v>485</v>
      </c>
      <c r="U1" s="52"/>
      <c r="V1" s="45" t="s">
        <v>513</v>
      </c>
      <c r="W1" s="100" t="s">
        <v>475</v>
      </c>
      <c r="X1" s="100" t="s">
        <v>530</v>
      </c>
      <c r="Y1" s="100" t="s">
        <v>531</v>
      </c>
      <c r="Z1" s="100" t="s">
        <v>499</v>
      </c>
      <c r="AA1" s="100" t="s">
        <v>532</v>
      </c>
      <c r="AB1" s="101" t="s">
        <v>443</v>
      </c>
      <c r="AC1" s="101" t="s">
        <v>477</v>
      </c>
      <c r="AD1" s="100" t="s">
        <v>478</v>
      </c>
      <c r="AE1" s="100" t="s">
        <v>479</v>
      </c>
      <c r="AF1" s="100" t="s">
        <v>480</v>
      </c>
      <c r="AG1" s="101" t="s">
        <v>476</v>
      </c>
      <c r="AH1" s="100" t="s">
        <v>467</v>
      </c>
      <c r="AI1" s="101" t="s">
        <v>562</v>
      </c>
      <c r="AJ1" s="100" t="s">
        <v>467</v>
      </c>
      <c r="AK1" s="53" t="s">
        <v>517</v>
      </c>
      <c r="AM1" s="116" t="s">
        <v>515</v>
      </c>
      <c r="AN1" s="10" t="s">
        <v>516</v>
      </c>
      <c r="AO1" s="10"/>
      <c r="AP1" s="116" t="s">
        <v>515</v>
      </c>
      <c r="AQ1" s="10" t="s">
        <v>516</v>
      </c>
    </row>
    <row r="2" spans="1:43" x14ac:dyDescent="0.35">
      <c r="A2" s="136"/>
      <c r="B2" s="136"/>
      <c r="C2" s="136"/>
      <c r="D2" s="12" t="s">
        <v>468</v>
      </c>
      <c r="E2" s="12" t="s">
        <v>467</v>
      </c>
      <c r="F2" s="108" t="s">
        <v>563</v>
      </c>
      <c r="G2" s="13" t="s">
        <v>468</v>
      </c>
      <c r="H2" s="13" t="s">
        <v>467</v>
      </c>
      <c r="J2" s="55" t="s">
        <v>483</v>
      </c>
      <c r="K2" s="56" t="s">
        <v>252</v>
      </c>
      <c r="L2" s="57">
        <v>3000</v>
      </c>
      <c r="M2" s="119" t="s">
        <v>20</v>
      </c>
      <c r="N2" s="58">
        <v>45847</v>
      </c>
      <c r="O2" s="44" t="s">
        <v>248</v>
      </c>
      <c r="P2" s="44" t="s">
        <v>22</v>
      </c>
      <c r="Q2" s="44" t="s">
        <v>248</v>
      </c>
      <c r="R2" s="59">
        <f>Portfolio_by_issuer[[#This Row],[Total Amount]]/Portfolio_by_issuer[[#Totals],[Total Amount]]</f>
        <v>8.2448127589135695E-2</v>
      </c>
      <c r="S2" s="60" t="str">
        <f>_xlfn.XLOOKUP(Portfolio_by_issuer[[#This Row],[Issuer]],Rating!T:T,Rating!U:U,,0)</f>
        <v>AAA</v>
      </c>
      <c r="T2" s="61">
        <f>Portfolio_by_issuer[[#This Row],[Total Amount]]/Portfolio_by_issuer[[#Totals],[Total Amount]]</f>
        <v>8.2448127589135695E-2</v>
      </c>
      <c r="U2" s="54"/>
      <c r="V2" s="55"/>
      <c r="W2" s="120" t="s">
        <v>379</v>
      </c>
      <c r="X2" s="10" t="s">
        <v>184</v>
      </c>
      <c r="Y2" s="10" t="s">
        <v>537</v>
      </c>
      <c r="Z2" s="10" t="s">
        <v>504</v>
      </c>
      <c r="AA2" s="10"/>
      <c r="AB2" s="102" t="s">
        <v>20</v>
      </c>
      <c r="AC2" s="103">
        <v>46128</v>
      </c>
      <c r="AD2" s="123"/>
      <c r="AE2" s="123"/>
      <c r="AF2" s="44"/>
      <c r="AG2" s="124">
        <v>50</v>
      </c>
      <c r="AH2" s="104">
        <f>AG2/Portfolio_by_bond[[#Totals],[Total Amount]]</f>
        <v>1.3741354598189282E-3</v>
      </c>
      <c r="AI2" s="105">
        <f>Portfolio_by_bond[[#This Row],[Total Amount]]-_xlfn.XLOOKUP(Portfolio_by_bond[[#This Row],[Bond_Code]],'Ref'!F:F,'Ref'!G:G,0,0)</f>
        <v>50</v>
      </c>
      <c r="AJ2" s="106">
        <f>AI2/(SUM(AI:AI)/2)</f>
        <v>1.6729953503774968E-3</v>
      </c>
      <c r="AK2" s="62" t="str">
        <f t="shared" ref="AK2:AK33" si="0">IF(AA2="",Z2,AA2)</f>
        <v>1-3M</v>
      </c>
      <c r="AL2" s="54"/>
      <c r="AM2" s="117" t="s">
        <v>503</v>
      </c>
      <c r="AN2" s="118">
        <v>5850</v>
      </c>
      <c r="AO2" s="10"/>
      <c r="AP2" s="117" t="s">
        <v>503</v>
      </c>
      <c r="AQ2" s="118">
        <v>5850</v>
      </c>
    </row>
    <row r="3" spans="1:43" x14ac:dyDescent="0.35">
      <c r="A3" s="63" t="s">
        <v>20</v>
      </c>
      <c r="B3" s="64">
        <v>0.2</v>
      </c>
      <c r="C3" s="65">
        <v>0.19</v>
      </c>
      <c r="D3" s="66">
        <f t="shared" ref="D3:D9" si="1">SUMIFS(L:L,M:M,A3)</f>
        <v>6750</v>
      </c>
      <c r="E3" s="67">
        <f>_xlfn.MAXIFS(T:T,M:M,A3)</f>
        <v>0.18550828707555533</v>
      </c>
      <c r="F3" s="67">
        <f xml:space="preserve"> SUMIFS(AI:AI,AB:AB,A3)/(SUM(AI:AI)/2)</f>
        <v>0.29277418631606195</v>
      </c>
      <c r="G3" s="66">
        <f t="shared" ref="G3:G9" si="2">SUMIFS(L:L,S:S,A3)</f>
        <v>6750</v>
      </c>
      <c r="H3" s="67">
        <f>_xlfn.MAXIFS(T:T,S:S,A3)</f>
        <v>0.18550828707555533</v>
      </c>
      <c r="J3" s="68">
        <f>_xlfn.MAXIFS(R:R,M:M,"BBB")</f>
        <v>0.71352287709861562</v>
      </c>
      <c r="K3" s="56" t="s">
        <v>379</v>
      </c>
      <c r="L3" s="57">
        <v>2400</v>
      </c>
      <c r="M3" s="119" t="s">
        <v>20</v>
      </c>
      <c r="N3" s="58">
        <v>46128</v>
      </c>
      <c r="O3" s="44" t="s">
        <v>248</v>
      </c>
      <c r="P3" s="44" t="s">
        <v>248</v>
      </c>
      <c r="Q3" s="44" t="s">
        <v>248</v>
      </c>
      <c r="R3" s="59">
        <f>R2+Portfolio_by_issuer[[#This Row],[Total Amount]]/Portfolio_by_issuer[[#Totals],[Total Amount]]</f>
        <v>0.14840662966044427</v>
      </c>
      <c r="S3" s="60" t="str">
        <f>_xlfn.XLOOKUP(Portfolio_by_issuer[[#This Row],[Issuer]],Rating!T:T,Rating!U:U,,0)</f>
        <v>AAA</v>
      </c>
      <c r="T3" s="61">
        <f>T2+Portfolio_by_issuer[[#This Row],[Total Amount]]/Portfolio_by_issuer[[#Totals],[Total Amount]]</f>
        <v>0.14840662966044427</v>
      </c>
      <c r="U3" s="54"/>
      <c r="V3" s="55"/>
      <c r="W3" s="120" t="s">
        <v>379</v>
      </c>
      <c r="X3" s="10" t="s">
        <v>184</v>
      </c>
      <c r="Y3" s="10" t="s">
        <v>533</v>
      </c>
      <c r="Z3" s="10" t="s">
        <v>504</v>
      </c>
      <c r="AA3" s="10"/>
      <c r="AB3" s="102" t="s">
        <v>20</v>
      </c>
      <c r="AC3" s="103">
        <v>46128</v>
      </c>
      <c r="AD3" s="123"/>
      <c r="AE3" s="123"/>
      <c r="AF3" s="44"/>
      <c r="AG3" s="124">
        <v>200</v>
      </c>
      <c r="AH3" s="104">
        <f>AH2+AG3/Portfolio_by_bond[[#Totals],[Total Amount]]</f>
        <v>6.8706772990946409E-3</v>
      </c>
      <c r="AI3" s="105">
        <f>Portfolio_by_bond[[#This Row],[Total Amount]]-_xlfn.XLOOKUP(Portfolio_by_bond[[#This Row],[Bond_Code]],'Ref'!F:F,'Ref'!G:G,0,0)</f>
        <v>200</v>
      </c>
      <c r="AJ3" s="106">
        <f t="shared" ref="AJ3:AJ48" si="3">AJ2+AI3/(SUM(AI:AI)/2)</f>
        <v>8.3649767518874842E-3</v>
      </c>
      <c r="AK3" s="62" t="str">
        <f t="shared" si="0"/>
        <v>1-3M</v>
      </c>
      <c r="AL3" s="54"/>
      <c r="AM3" s="117" t="s">
        <v>508</v>
      </c>
      <c r="AN3" s="118">
        <v>500</v>
      </c>
      <c r="AO3" s="10"/>
      <c r="AP3" s="117" t="s">
        <v>508</v>
      </c>
      <c r="AQ3" s="118">
        <v>2000</v>
      </c>
    </row>
    <row r="4" spans="1:43" x14ac:dyDescent="0.35">
      <c r="A4" s="63" t="s">
        <v>52</v>
      </c>
      <c r="B4" s="64">
        <v>0.2</v>
      </c>
      <c r="C4" s="65">
        <v>0.2</v>
      </c>
      <c r="D4" s="66">
        <f t="shared" si="1"/>
        <v>8441.6106</v>
      </c>
      <c r="E4" s="67">
        <f>_xlfn.MAXIFS(T:T,M:M,A4)</f>
        <v>0.4175066163444221</v>
      </c>
      <c r="F4" s="67">
        <f>F3+SUMIFS(AI:AI,AB:AB,A4)/(SUM(AI:AI)/2)</f>
        <v>0.47484997096335996</v>
      </c>
      <c r="G4" s="66">
        <f t="shared" si="2"/>
        <v>8441.6106</v>
      </c>
      <c r="H4" s="67">
        <f>_xlfn.MAXIFS(T:T,S:S,A4)</f>
        <v>0.4175066163444221</v>
      </c>
      <c r="J4" s="54" t="s">
        <v>482</v>
      </c>
      <c r="K4" s="56" t="s">
        <v>278</v>
      </c>
      <c r="L4" s="57">
        <v>1350</v>
      </c>
      <c r="M4" s="119" t="s">
        <v>20</v>
      </c>
      <c r="N4" s="58">
        <v>46136</v>
      </c>
      <c r="O4" s="44" t="s">
        <v>18</v>
      </c>
      <c r="P4" s="44" t="s">
        <v>22</v>
      </c>
      <c r="Q4" s="44" t="s">
        <v>248</v>
      </c>
      <c r="R4" s="59">
        <f>R3+Portfolio_by_issuer[[#This Row],[Total Amount]]/Portfolio_by_issuer[[#Totals],[Total Amount]]</f>
        <v>0.18550828707555533</v>
      </c>
      <c r="S4" s="60" t="str">
        <f>_xlfn.XLOOKUP(Portfolio_by_issuer[[#This Row],[Issuer]],Rating!T:T,Rating!U:U,,0)</f>
        <v>AAA</v>
      </c>
      <c r="T4" s="61">
        <f>T3+Portfolio_by_issuer[[#This Row],[Total Amount]]/Portfolio_by_issuer[[#Totals],[Total Amount]]</f>
        <v>0.18550828707555533</v>
      </c>
      <c r="U4" s="54"/>
      <c r="V4" s="55"/>
      <c r="W4" s="120" t="s">
        <v>379</v>
      </c>
      <c r="X4" s="10" t="s">
        <v>184</v>
      </c>
      <c r="Y4" s="10" t="s">
        <v>566</v>
      </c>
      <c r="Z4" s="10" t="s">
        <v>507</v>
      </c>
      <c r="AA4" s="10"/>
      <c r="AB4" s="102" t="s">
        <v>20</v>
      </c>
      <c r="AC4" s="103">
        <v>46128</v>
      </c>
      <c r="AD4" s="123"/>
      <c r="AE4" s="123"/>
      <c r="AF4" s="44"/>
      <c r="AG4" s="124">
        <v>1000</v>
      </c>
      <c r="AH4" s="104">
        <f>AH3+AG4/Portfolio_by_bond[[#Totals],[Total Amount]]</f>
        <v>3.4353386495473204E-2</v>
      </c>
      <c r="AI4" s="105">
        <f>Portfolio_by_bond[[#This Row],[Total Amount]]-_xlfn.XLOOKUP(Portfolio_by_bond[[#This Row],[Bond_Code]],'Ref'!F:F,'Ref'!G:G,0,0)</f>
        <v>1000</v>
      </c>
      <c r="AJ4" s="106">
        <f t="shared" si="3"/>
        <v>4.1824883759437423E-2</v>
      </c>
      <c r="AK4" s="62" t="str">
        <f t="shared" si="0"/>
        <v>2-3Y</v>
      </c>
      <c r="AL4" s="54"/>
      <c r="AM4" s="117" t="s">
        <v>504</v>
      </c>
      <c r="AN4" s="118">
        <v>4371</v>
      </c>
      <c r="AO4" s="10"/>
      <c r="AP4" s="117" t="s">
        <v>504</v>
      </c>
      <c r="AQ4" s="118">
        <v>5371</v>
      </c>
    </row>
    <row r="5" spans="1:43" x14ac:dyDescent="0.35">
      <c r="A5" s="63" t="s">
        <v>33</v>
      </c>
      <c r="B5" s="64">
        <v>0.2</v>
      </c>
      <c r="C5" s="65">
        <v>0.23</v>
      </c>
      <c r="D5" s="66">
        <f t="shared" si="1"/>
        <v>7000</v>
      </c>
      <c r="E5" s="67">
        <f>_xlfn.MAXIFS(T:T,M:M,A5)</f>
        <v>0.60988558071907206</v>
      </c>
      <c r="F5" s="67">
        <f>F4+SUMIFS(AI:AI,AB:AB,A5)/(SUM(AI:AI)/2)</f>
        <v>0.70906932001620948</v>
      </c>
      <c r="G5" s="66">
        <f t="shared" si="2"/>
        <v>7000</v>
      </c>
      <c r="H5" s="67">
        <f>_xlfn.MAXIFS(T:T,S:S,A5)</f>
        <v>0.60988558071907206</v>
      </c>
      <c r="J5" s="68">
        <f>_xlfn.MAXIFS(T:T,S:S,"BBB")</f>
        <v>0.71352287709861562</v>
      </c>
      <c r="K5" s="56" t="s">
        <v>284</v>
      </c>
      <c r="L5" s="57">
        <v>2897.6106</v>
      </c>
      <c r="M5" s="119" t="s">
        <v>52</v>
      </c>
      <c r="N5" s="58">
        <v>46022</v>
      </c>
      <c r="O5" s="44" t="s">
        <v>248</v>
      </c>
      <c r="P5" s="44" t="s">
        <v>25</v>
      </c>
      <c r="Q5" s="44" t="s">
        <v>248</v>
      </c>
      <c r="R5" s="59">
        <f>R4+Portfolio_by_issuer[[#This Row],[Total Amount]]/Portfolio_by_issuer[[#Totals],[Total Amount]]</f>
        <v>0.26514247655969936</v>
      </c>
      <c r="S5" s="60" t="str">
        <f>_xlfn.XLOOKUP(Portfolio_by_issuer[[#This Row],[Issuer]],Rating!T:T,Rating!U:U,,0)</f>
        <v>AA</v>
      </c>
      <c r="T5" s="61">
        <f>T4+Portfolio_by_issuer[[#This Row],[Total Amount]]/Portfolio_by_issuer[[#Totals],[Total Amount]]</f>
        <v>0.26514247655969936</v>
      </c>
      <c r="U5" s="54"/>
      <c r="V5" s="55"/>
      <c r="W5" s="120" t="s">
        <v>379</v>
      </c>
      <c r="X5" s="10" t="s">
        <v>184</v>
      </c>
      <c r="Y5" s="10" t="s">
        <v>534</v>
      </c>
      <c r="Z5" s="10" t="s">
        <v>506</v>
      </c>
      <c r="AA5" s="10"/>
      <c r="AB5" s="102" t="s">
        <v>20</v>
      </c>
      <c r="AC5" s="103">
        <v>46128</v>
      </c>
      <c r="AD5" s="123"/>
      <c r="AE5" s="123"/>
      <c r="AF5" s="44"/>
      <c r="AG5" s="124">
        <v>400</v>
      </c>
      <c r="AH5" s="104">
        <f>AH4+AG5/Portfolio_by_bond[[#Totals],[Total Amount]]</f>
        <v>4.5346470174024628E-2</v>
      </c>
      <c r="AI5" s="105">
        <f>Portfolio_by_bond[[#This Row],[Total Amount]]-_xlfn.XLOOKUP(Portfolio_by_bond[[#This Row],[Bond_Code]],'Ref'!F:F,'Ref'!G:G,0,0)</f>
        <v>400</v>
      </c>
      <c r="AJ5" s="106">
        <f t="shared" si="3"/>
        <v>5.5208846562457399E-2</v>
      </c>
      <c r="AK5" s="62" t="str">
        <f t="shared" si="0"/>
        <v>6M-1Y</v>
      </c>
      <c r="AL5" s="54"/>
      <c r="AM5" s="117" t="s">
        <v>507</v>
      </c>
      <c r="AN5" s="118">
        <v>3000</v>
      </c>
      <c r="AO5" s="10"/>
      <c r="AP5" s="117" t="s">
        <v>505</v>
      </c>
      <c r="AQ5" s="118">
        <v>7300</v>
      </c>
    </row>
    <row r="6" spans="1:43" x14ac:dyDescent="0.35">
      <c r="A6" s="63" t="s">
        <v>24</v>
      </c>
      <c r="B6" s="64">
        <v>0.2</v>
      </c>
      <c r="C6" s="65">
        <v>0.26</v>
      </c>
      <c r="D6" s="66">
        <f t="shared" si="1"/>
        <v>3771</v>
      </c>
      <c r="E6" s="69">
        <f>_xlfn.MAXIFS(T:T,M:M,A6)</f>
        <v>0.71352287709861562</v>
      </c>
      <c r="F6" s="69">
        <f>F5+SUMIFS(AI:AI,AB:AB,A6)/(SUM(AI:AI)/2)</f>
        <v>0.8017867223341304</v>
      </c>
      <c r="G6" s="66">
        <f t="shared" si="2"/>
        <v>3771</v>
      </c>
      <c r="H6" s="69">
        <f>_xlfn.MAXIFS(T:T,S:S,A6)</f>
        <v>0.71352287709861562</v>
      </c>
      <c r="K6" s="56" t="s">
        <v>282</v>
      </c>
      <c r="L6" s="57">
        <v>176</v>
      </c>
      <c r="M6" s="119" t="s">
        <v>52</v>
      </c>
      <c r="N6" s="58">
        <v>45783</v>
      </c>
      <c r="O6" s="44" t="s">
        <v>65</v>
      </c>
      <c r="P6" s="44" t="s">
        <v>248</v>
      </c>
      <c r="Q6" s="44" t="s">
        <v>248</v>
      </c>
      <c r="R6" s="59">
        <f>R5+Portfolio_by_issuer[[#This Row],[Total Amount]]/Portfolio_by_issuer[[#Totals],[Total Amount]]</f>
        <v>0.26997943337826197</v>
      </c>
      <c r="S6" s="60" t="str">
        <f>_xlfn.XLOOKUP(Portfolio_by_issuer[[#This Row],[Issuer]],Rating!T:T,Rating!U:U,,0)</f>
        <v>AA</v>
      </c>
      <c r="T6" s="61">
        <f>T5+Portfolio_by_issuer[[#This Row],[Total Amount]]/Portfolio_by_issuer[[#Totals],[Total Amount]]</f>
        <v>0.26997943337826197</v>
      </c>
      <c r="U6" s="54"/>
      <c r="V6" s="55"/>
      <c r="W6" s="120" t="s">
        <v>379</v>
      </c>
      <c r="X6" s="10" t="s">
        <v>184</v>
      </c>
      <c r="Y6" s="10" t="s">
        <v>535</v>
      </c>
      <c r="Z6" s="10" t="s">
        <v>503</v>
      </c>
      <c r="AA6" s="10"/>
      <c r="AB6" s="102" t="s">
        <v>20</v>
      </c>
      <c r="AC6" s="103">
        <v>46128</v>
      </c>
      <c r="AD6" s="123"/>
      <c r="AE6" s="123"/>
      <c r="AF6" s="44"/>
      <c r="AG6" s="124">
        <v>350</v>
      </c>
      <c r="AH6" s="104">
        <f>AH5+AG6/Portfolio_by_bond[[#Totals],[Total Amount]]</f>
        <v>5.4965418392757127E-2</v>
      </c>
      <c r="AI6" s="105">
        <f>Portfolio_by_bond[[#This Row],[Total Amount]]-_xlfn.XLOOKUP(Portfolio_by_bond[[#This Row],[Bond_Code]],'Ref'!F:F,'Ref'!G:G,0,0)</f>
        <v>350</v>
      </c>
      <c r="AJ6" s="106">
        <f t="shared" si="3"/>
        <v>6.6919814015099874E-2</v>
      </c>
      <c r="AK6" s="62" t="str">
        <f t="shared" si="0"/>
        <v>&lt;1M</v>
      </c>
      <c r="AL6" s="54"/>
      <c r="AM6" s="117" t="s">
        <v>505</v>
      </c>
      <c r="AN6" s="118">
        <v>7300</v>
      </c>
      <c r="AO6" s="10"/>
      <c r="AP6" s="117" t="s">
        <v>506</v>
      </c>
      <c r="AQ6" s="118">
        <v>14291.6106</v>
      </c>
    </row>
    <row r="7" spans="1:43" x14ac:dyDescent="0.35">
      <c r="A7" s="63" t="s">
        <v>18</v>
      </c>
      <c r="B7" s="64">
        <v>0.2</v>
      </c>
      <c r="C7" s="65">
        <v>0.36</v>
      </c>
      <c r="D7" s="66">
        <f t="shared" si="1"/>
        <v>8600</v>
      </c>
      <c r="E7" s="67">
        <f>_xlfn.MAXIFS(T:T,M:M,A7)</f>
        <v>0.94987417618747139</v>
      </c>
      <c r="F7" s="67">
        <f>F6+SUMIFS(AI:AI,AB:AB,A7)/(SUM(AI:AI)/2)</f>
        <v>0.94733731781697261</v>
      </c>
      <c r="G7" s="66">
        <f t="shared" si="2"/>
        <v>8600</v>
      </c>
      <c r="H7" s="67">
        <f>_xlfn.MAXIFS(T:T,S:S,A7)</f>
        <v>0.94987417618747139</v>
      </c>
      <c r="K7" s="56" t="s">
        <v>279</v>
      </c>
      <c r="L7" s="57">
        <v>2000</v>
      </c>
      <c r="M7" s="119" t="s">
        <v>52</v>
      </c>
      <c r="N7" s="58">
        <v>45853</v>
      </c>
      <c r="O7" s="44" t="s">
        <v>248</v>
      </c>
      <c r="P7" s="44" t="s">
        <v>27</v>
      </c>
      <c r="Q7" s="44" t="s">
        <v>248</v>
      </c>
      <c r="R7" s="59">
        <f>R6+Portfolio_by_issuer[[#This Row],[Total Amount]]/Portfolio_by_issuer[[#Totals],[Total Amount]]</f>
        <v>0.32494485177101912</v>
      </c>
      <c r="S7" s="60" t="str">
        <f>_xlfn.XLOOKUP(Portfolio_by_issuer[[#This Row],[Issuer]],Rating!T:T,Rating!U:U,,0)</f>
        <v>AA</v>
      </c>
      <c r="T7" s="61">
        <f>T6+Portfolio_by_issuer[[#This Row],[Total Amount]]/Portfolio_by_issuer[[#Totals],[Total Amount]]</f>
        <v>0.32494485177101912</v>
      </c>
      <c r="U7" s="54"/>
      <c r="W7" s="120" t="s">
        <v>379</v>
      </c>
      <c r="X7" s="10" t="s">
        <v>184</v>
      </c>
      <c r="Y7" s="10" t="s">
        <v>536</v>
      </c>
      <c r="Z7" s="10" t="s">
        <v>506</v>
      </c>
      <c r="AA7" s="10"/>
      <c r="AB7" s="102" t="s">
        <v>20</v>
      </c>
      <c r="AC7" s="103">
        <v>46128</v>
      </c>
      <c r="AD7" s="123"/>
      <c r="AE7" s="123"/>
      <c r="AF7" s="44"/>
      <c r="AG7" s="124">
        <v>400</v>
      </c>
      <c r="AH7" s="104">
        <f>AH6+AG7/Portfolio_by_bond[[#Totals],[Total Amount]]</f>
        <v>6.5958502071308558E-2</v>
      </c>
      <c r="AI7" s="105">
        <f>Portfolio_by_bond[[#This Row],[Total Amount]]-_xlfn.XLOOKUP(Portfolio_by_bond[[#This Row],[Bond_Code]],'Ref'!F:F,'Ref'!G:G,0,0)</f>
        <v>400</v>
      </c>
      <c r="AJ7" s="106">
        <f t="shared" si="3"/>
        <v>8.0303776818119843E-2</v>
      </c>
      <c r="AK7" s="62" t="str">
        <f t="shared" si="0"/>
        <v>6M-1Y</v>
      </c>
      <c r="AL7" s="54"/>
      <c r="AM7" s="117" t="s">
        <v>510</v>
      </c>
      <c r="AN7" s="118">
        <v>2897.6106</v>
      </c>
      <c r="AO7" s="10"/>
      <c r="AP7" s="117" t="s">
        <v>507</v>
      </c>
      <c r="AQ7" s="118">
        <v>1000</v>
      </c>
    </row>
    <row r="8" spans="1:43" x14ac:dyDescent="0.35">
      <c r="A8" s="63" t="s">
        <v>40</v>
      </c>
      <c r="B8" s="64">
        <v>0.2</v>
      </c>
      <c r="C8" s="65">
        <v>0.52</v>
      </c>
      <c r="D8" s="66">
        <f t="shared" si="1"/>
        <v>823.90402104658006</v>
      </c>
      <c r="E8" s="67">
        <v>0.98</v>
      </c>
      <c r="F8" s="67">
        <v>0.99</v>
      </c>
      <c r="G8" s="66">
        <f t="shared" si="2"/>
        <v>823.90402104658006</v>
      </c>
      <c r="H8" s="67">
        <v>0.99</v>
      </c>
      <c r="K8" s="56" t="s">
        <v>271</v>
      </c>
      <c r="L8" s="57">
        <v>868</v>
      </c>
      <c r="M8" s="119" t="s">
        <v>52</v>
      </c>
      <c r="N8" s="58">
        <v>46164</v>
      </c>
      <c r="O8" s="44" t="s">
        <v>248</v>
      </c>
      <c r="P8" s="44" t="s">
        <v>38</v>
      </c>
      <c r="Q8" s="44" t="s">
        <v>248</v>
      </c>
      <c r="R8" s="59">
        <f>R7+Portfolio_by_issuer[[#This Row],[Total Amount]]/Portfolio_by_issuer[[#Totals],[Total Amount]]</f>
        <v>0.34879984335347569</v>
      </c>
      <c r="S8" s="60" t="str">
        <f>_xlfn.XLOOKUP(Portfolio_by_issuer[[#This Row],[Issuer]],Rating!T:T,Rating!U:U,,0)</f>
        <v>AA</v>
      </c>
      <c r="T8" s="61">
        <f>T7+Portfolio_by_issuer[[#This Row],[Total Amount]]/Portfolio_by_issuer[[#Totals],[Total Amount]]</f>
        <v>0.34879984335347569</v>
      </c>
      <c r="U8" s="54"/>
      <c r="W8" s="120" t="s">
        <v>278</v>
      </c>
      <c r="X8" s="10" t="s">
        <v>59</v>
      </c>
      <c r="Y8" s="10" t="s">
        <v>579</v>
      </c>
      <c r="Z8" s="10" t="s">
        <v>503</v>
      </c>
      <c r="AA8" s="10"/>
      <c r="AB8" s="102" t="s">
        <v>20</v>
      </c>
      <c r="AC8" s="103">
        <v>46136</v>
      </c>
      <c r="AD8" s="123" t="s">
        <v>18</v>
      </c>
      <c r="AE8" s="123" t="s">
        <v>22</v>
      </c>
      <c r="AF8" s="44"/>
      <c r="AG8" s="124">
        <v>500</v>
      </c>
      <c r="AH8" s="104">
        <f>AH7+AG8/Portfolio_by_bond[[#Totals],[Total Amount]]</f>
        <v>7.9699856669497846E-2</v>
      </c>
      <c r="AI8" s="105">
        <f>Portfolio_by_bond[[#This Row],[Total Amount]]-_xlfn.XLOOKUP(Portfolio_by_bond[[#This Row],[Bond_Code]],'Ref'!F:F,'Ref'!G:G,0,0)</f>
        <v>500</v>
      </c>
      <c r="AJ8" s="106">
        <f t="shared" si="3"/>
        <v>9.7033730321894815E-2</v>
      </c>
      <c r="AK8" s="62" t="str">
        <f t="shared" si="0"/>
        <v>&lt;1M</v>
      </c>
      <c r="AL8" s="54"/>
      <c r="AM8" s="117" t="s">
        <v>506</v>
      </c>
      <c r="AN8" s="118">
        <v>11894</v>
      </c>
      <c r="AO8" s="10"/>
      <c r="AP8" s="117" t="s">
        <v>509</v>
      </c>
      <c r="AQ8" s="118">
        <v>573.90402104658006</v>
      </c>
    </row>
    <row r="9" spans="1:43" x14ac:dyDescent="0.35">
      <c r="A9" s="63" t="s">
        <v>29</v>
      </c>
      <c r="B9" s="64">
        <v>0.2</v>
      </c>
      <c r="C9" s="65">
        <v>0.52</v>
      </c>
      <c r="D9" s="66">
        <f t="shared" si="1"/>
        <v>1000</v>
      </c>
      <c r="E9" s="67">
        <v>1</v>
      </c>
      <c r="F9" s="67">
        <v>1</v>
      </c>
      <c r="G9" s="66">
        <f t="shared" si="2"/>
        <v>1000</v>
      </c>
      <c r="H9" s="67">
        <v>1</v>
      </c>
      <c r="K9" s="56" t="s">
        <v>273</v>
      </c>
      <c r="L9" s="57">
        <v>2500</v>
      </c>
      <c r="M9" s="119" t="s">
        <v>52</v>
      </c>
      <c r="N9" s="58">
        <v>46199</v>
      </c>
      <c r="O9" s="44" t="s">
        <v>248</v>
      </c>
      <c r="P9" s="44" t="s">
        <v>27</v>
      </c>
      <c r="Q9" s="44" t="s">
        <v>248</v>
      </c>
      <c r="R9" s="59">
        <f>R8+Portfolio_by_issuer[[#This Row],[Total Amount]]/Portfolio_by_issuer[[#Totals],[Total Amount]]</f>
        <v>0.4175066163444221</v>
      </c>
      <c r="S9" s="60" t="str">
        <f>_xlfn.XLOOKUP(Portfolio_by_issuer[[#This Row],[Issuer]],Rating!T:T,Rating!U:U,,0)</f>
        <v>AA</v>
      </c>
      <c r="T9" s="61">
        <f>T8+Portfolio_by_issuer[[#This Row],[Total Amount]]/Portfolio_by_issuer[[#Totals],[Total Amount]]</f>
        <v>0.4175066163444221</v>
      </c>
      <c r="U9" s="54"/>
      <c r="W9" s="120" t="s">
        <v>278</v>
      </c>
      <c r="X9" s="10" t="s">
        <v>59</v>
      </c>
      <c r="Y9" s="10" t="s">
        <v>567</v>
      </c>
      <c r="Z9" s="10" t="s">
        <v>506</v>
      </c>
      <c r="AA9" s="10"/>
      <c r="AB9" s="102" t="s">
        <v>20</v>
      </c>
      <c r="AC9" s="103">
        <v>46136</v>
      </c>
      <c r="AD9" s="123" t="s">
        <v>18</v>
      </c>
      <c r="AE9" s="123" t="s">
        <v>22</v>
      </c>
      <c r="AF9" s="44"/>
      <c r="AG9" s="124">
        <v>350</v>
      </c>
      <c r="AH9" s="104">
        <f>AH8+AG9/Portfolio_by_bond[[#Totals],[Total Amount]]</f>
        <v>8.9318804888230338E-2</v>
      </c>
      <c r="AI9" s="105">
        <f>Portfolio_by_bond[[#This Row],[Total Amount]]-_xlfn.XLOOKUP(Portfolio_by_bond[[#This Row],[Bond_Code]],'Ref'!F:F,'Ref'!G:G,0,0)</f>
        <v>350</v>
      </c>
      <c r="AJ9" s="106">
        <f t="shared" si="3"/>
        <v>0.1087446977745373</v>
      </c>
      <c r="AK9" s="62" t="str">
        <f t="shared" si="0"/>
        <v>6M-1Y</v>
      </c>
      <c r="AL9" s="54"/>
      <c r="AM9" s="117" t="s">
        <v>509</v>
      </c>
      <c r="AN9" s="118">
        <v>573.90402104658006</v>
      </c>
      <c r="AO9" s="10"/>
      <c r="AP9" s="117" t="s">
        <v>464</v>
      </c>
      <c r="AQ9" s="118">
        <v>36386.514621046583</v>
      </c>
    </row>
    <row r="10" spans="1:43" x14ac:dyDescent="0.35">
      <c r="A10" s="70" t="s">
        <v>464</v>
      </c>
      <c r="B10" s="71"/>
      <c r="C10" s="71"/>
      <c r="D10" s="72">
        <f>SUM(D3:D9)</f>
        <v>36386.514621046583</v>
      </c>
      <c r="E10" s="73">
        <f>E9</f>
        <v>1</v>
      </c>
      <c r="F10" s="110">
        <f>F9</f>
        <v>1</v>
      </c>
      <c r="G10" s="74">
        <f>SUM(G3:G9)</f>
        <v>36386.514621046583</v>
      </c>
      <c r="H10" s="75">
        <f>H9</f>
        <v>1</v>
      </c>
      <c r="K10" s="56" t="s">
        <v>261</v>
      </c>
      <c r="L10" s="57">
        <v>3000</v>
      </c>
      <c r="M10" s="119" t="s">
        <v>33</v>
      </c>
      <c r="N10" s="58">
        <v>46141</v>
      </c>
      <c r="O10" s="44" t="s">
        <v>62</v>
      </c>
      <c r="P10" s="44" t="s">
        <v>38</v>
      </c>
      <c r="Q10" s="44" t="s">
        <v>248</v>
      </c>
      <c r="R10" s="59">
        <f>R9+Portfolio_by_issuer[[#This Row],[Total Amount]]/Portfolio_by_issuer[[#Totals],[Total Amount]]</f>
        <v>0.49995474393355777</v>
      </c>
      <c r="S10" s="60" t="str">
        <f>_xlfn.XLOOKUP(Portfolio_by_issuer[[#This Row],[Issuer]],Rating!T:T,Rating!U:U,,0)</f>
        <v>A</v>
      </c>
      <c r="T10" s="61">
        <f>T9+Portfolio_by_issuer[[#This Row],[Total Amount]]/Portfolio_by_issuer[[#Totals],[Total Amount]]</f>
        <v>0.49995474393355777</v>
      </c>
      <c r="U10" s="54"/>
      <c r="W10" s="120" t="s">
        <v>278</v>
      </c>
      <c r="X10" s="10" t="s">
        <v>59</v>
      </c>
      <c r="Y10" s="10" t="s">
        <v>541</v>
      </c>
      <c r="Z10" s="10" t="s">
        <v>508</v>
      </c>
      <c r="AA10" s="10"/>
      <c r="AB10" s="102" t="s">
        <v>20</v>
      </c>
      <c r="AC10" s="103">
        <v>46136</v>
      </c>
      <c r="AD10" s="123" t="s">
        <v>18</v>
      </c>
      <c r="AE10" s="123" t="s">
        <v>22</v>
      </c>
      <c r="AF10" s="44"/>
      <c r="AG10" s="124">
        <v>500</v>
      </c>
      <c r="AH10" s="104">
        <f>AH9+AG10/Portfolio_by_bond[[#Totals],[Total Amount]]</f>
        <v>0.10306015948641963</v>
      </c>
      <c r="AI10" s="105">
        <f>Portfolio_by_bond[[#This Row],[Total Amount]]-_xlfn.XLOOKUP(Portfolio_by_bond[[#This Row],[Bond_Code]],'Ref'!F:F,'Ref'!G:G,0,0)</f>
        <v>500</v>
      </c>
      <c r="AJ10" s="106">
        <f t="shared" si="3"/>
        <v>0.12547465127831225</v>
      </c>
      <c r="AK10" s="62" t="str">
        <f t="shared" si="0"/>
        <v>1-2Y</v>
      </c>
      <c r="AL10" s="54"/>
      <c r="AM10" s="117" t="s">
        <v>464</v>
      </c>
      <c r="AN10" s="118">
        <v>36386.514621046583</v>
      </c>
      <c r="AO10" s="10"/>
      <c r="AP10" s="10"/>
      <c r="AQ10" s="10"/>
    </row>
    <row r="11" spans="1:43" x14ac:dyDescent="0.35">
      <c r="K11" s="56" t="s">
        <v>274</v>
      </c>
      <c r="L11" s="57">
        <v>500</v>
      </c>
      <c r="M11" s="119" t="s">
        <v>33</v>
      </c>
      <c r="N11" s="58">
        <v>45931</v>
      </c>
      <c r="O11" s="44" t="s">
        <v>248</v>
      </c>
      <c r="P11" s="44" t="s">
        <v>27</v>
      </c>
      <c r="Q11" s="44" t="s">
        <v>248</v>
      </c>
      <c r="R11" s="59">
        <f>R10+Portfolio_by_issuer[[#This Row],[Total Amount]]/Portfolio_by_issuer[[#Totals],[Total Amount]]</f>
        <v>0.51369609853174703</v>
      </c>
      <c r="S11" s="60" t="str">
        <f>_xlfn.XLOOKUP(Portfolio_by_issuer[[#This Row],[Issuer]],Rating!T:T,Rating!U:U,,0)</f>
        <v>A</v>
      </c>
      <c r="T11" s="61">
        <f>T10+Portfolio_by_issuer[[#This Row],[Total Amount]]/Portfolio_by_issuer[[#Totals],[Total Amount]]</f>
        <v>0.51369609853174703</v>
      </c>
      <c r="U11" s="54"/>
      <c r="W11" s="120" t="s">
        <v>279</v>
      </c>
      <c r="X11" s="10" t="s">
        <v>60</v>
      </c>
      <c r="Y11" s="10" t="s">
        <v>544</v>
      </c>
      <c r="Z11" s="10" t="s">
        <v>507</v>
      </c>
      <c r="AA11" s="10" t="s">
        <v>506</v>
      </c>
      <c r="AB11" s="102" t="s">
        <v>20</v>
      </c>
      <c r="AC11" s="103">
        <v>46211</v>
      </c>
      <c r="AD11" s="123"/>
      <c r="AE11" s="123"/>
      <c r="AF11" s="44"/>
      <c r="AG11" s="124">
        <v>2000</v>
      </c>
      <c r="AH11" s="104">
        <f>AH10+AG11/Portfolio_by_bond[[#Totals],[Total Amount]]</f>
        <v>0.15802557787917676</v>
      </c>
      <c r="AI11" s="105">
        <f>Portfolio_by_bond[[#This Row],[Total Amount]]-_xlfn.XLOOKUP(Portfolio_by_bond[[#This Row],[Bond_Code]],'Ref'!F:F,'Ref'!G:G,0,0)</f>
        <v>2000</v>
      </c>
      <c r="AJ11" s="106">
        <f t="shared" si="3"/>
        <v>0.19239446529341214</v>
      </c>
      <c r="AK11" s="62" t="str">
        <f t="shared" si="0"/>
        <v>6M-1Y</v>
      </c>
      <c r="AL11" s="54"/>
      <c r="AM11" s="10"/>
      <c r="AN11" s="10"/>
      <c r="AO11" s="10"/>
    </row>
    <row r="12" spans="1:43" x14ac:dyDescent="0.35">
      <c r="K12" s="56" t="s">
        <v>281</v>
      </c>
      <c r="L12" s="57">
        <v>2000</v>
      </c>
      <c r="M12" s="119" t="s">
        <v>33</v>
      </c>
      <c r="N12" s="58"/>
      <c r="O12" s="44" t="s">
        <v>65</v>
      </c>
      <c r="P12" s="44" t="s">
        <v>25</v>
      </c>
      <c r="Q12" s="44" t="s">
        <v>248</v>
      </c>
      <c r="R12" s="59">
        <f>R11+Portfolio_by_issuer[[#This Row],[Total Amount]]/Portfolio_by_issuer[[#Totals],[Total Amount]]</f>
        <v>0.56866151692450417</v>
      </c>
      <c r="S12" s="60" t="str">
        <f>_xlfn.XLOOKUP(Portfolio_by_issuer[[#This Row],[Issuer]],Rating!T:T,Rating!U:U,,0)</f>
        <v>A</v>
      </c>
      <c r="T12" s="61">
        <f>T11+Portfolio_by_issuer[[#This Row],[Total Amount]]/Portfolio_by_issuer[[#Totals],[Total Amount]]</f>
        <v>0.56866151692450417</v>
      </c>
      <c r="U12" s="54"/>
      <c r="W12" s="120" t="s">
        <v>252</v>
      </c>
      <c r="X12" s="10" t="s">
        <v>19</v>
      </c>
      <c r="Y12" s="10" t="s">
        <v>538</v>
      </c>
      <c r="Z12" s="10" t="s">
        <v>506</v>
      </c>
      <c r="AA12" s="10"/>
      <c r="AB12" s="102" t="s">
        <v>20</v>
      </c>
      <c r="AC12" s="103">
        <v>46203</v>
      </c>
      <c r="AD12" s="123"/>
      <c r="AE12" s="123" t="s">
        <v>22</v>
      </c>
      <c r="AF12" s="44"/>
      <c r="AG12" s="124">
        <v>3000</v>
      </c>
      <c r="AH12" s="104">
        <f>AH11+AG12/Portfolio_by_bond[[#Totals],[Total Amount]]</f>
        <v>0.24047370546831245</v>
      </c>
      <c r="AI12" s="105">
        <f>Portfolio_by_bond[[#This Row],[Total Amount]]-_xlfn.XLOOKUP(Portfolio_by_bond[[#This Row],[Bond_Code]],'Ref'!F:F,'Ref'!G:G,0,0)</f>
        <v>3000</v>
      </c>
      <c r="AJ12" s="106">
        <f t="shared" si="3"/>
        <v>0.29277418631606195</v>
      </c>
      <c r="AK12" s="62" t="str">
        <f t="shared" si="0"/>
        <v>6M-1Y</v>
      </c>
      <c r="AL12" s="54"/>
      <c r="AM12" s="10"/>
      <c r="AN12" s="10"/>
      <c r="AO12" s="10"/>
    </row>
    <row r="13" spans="1:43" x14ac:dyDescent="0.35">
      <c r="A13" s="134" t="s">
        <v>499</v>
      </c>
      <c r="B13" s="134" t="s">
        <v>514</v>
      </c>
      <c r="C13" s="135" t="s">
        <v>518</v>
      </c>
      <c r="K13" s="56" t="s">
        <v>257</v>
      </c>
      <c r="L13" s="57">
        <v>1500</v>
      </c>
      <c r="M13" s="119" t="s">
        <v>33</v>
      </c>
      <c r="N13" s="58">
        <v>45919</v>
      </c>
      <c r="O13" s="44" t="s">
        <v>248</v>
      </c>
      <c r="P13" s="44" t="s">
        <v>27</v>
      </c>
      <c r="Q13" s="44" t="s">
        <v>248</v>
      </c>
      <c r="R13" s="59">
        <f>R12+Portfolio_by_issuer[[#This Row],[Total Amount]]/Portfolio_by_issuer[[#Totals],[Total Amount]]</f>
        <v>0.60988558071907206</v>
      </c>
      <c r="S13" s="60" t="str">
        <f>_xlfn.XLOOKUP(Portfolio_by_issuer[[#This Row],[Issuer]],Rating!T:T,Rating!U:U,,0)</f>
        <v>A</v>
      </c>
      <c r="T13" s="61">
        <f>T12+Portfolio_by_issuer[[#This Row],[Total Amount]]/Portfolio_by_issuer[[#Totals],[Total Amount]]</f>
        <v>0.60988558071907206</v>
      </c>
      <c r="U13" s="54"/>
      <c r="W13" s="120" t="s">
        <v>282</v>
      </c>
      <c r="X13" s="10" t="s">
        <v>64</v>
      </c>
      <c r="Y13" s="10" t="s">
        <v>568</v>
      </c>
      <c r="Z13" s="10" t="s">
        <v>506</v>
      </c>
      <c r="AA13" s="10"/>
      <c r="AB13" s="102" t="s">
        <v>52</v>
      </c>
      <c r="AC13" s="103">
        <v>46203</v>
      </c>
      <c r="AD13" s="123" t="s">
        <v>65</v>
      </c>
      <c r="AE13" s="123" t="s">
        <v>27</v>
      </c>
      <c r="AF13" s="44"/>
      <c r="AG13" s="124">
        <v>176</v>
      </c>
      <c r="AH13" s="104">
        <f>AH12+AG13/Portfolio_by_bond[[#Totals],[Total Amount]]</f>
        <v>0.24531066228687509</v>
      </c>
      <c r="AI13" s="105">
        <f>Portfolio_by_bond[[#This Row],[Total Amount]]-_xlfn.XLOOKUP(Portfolio_by_bond[[#This Row],[Bond_Code]],'Ref'!F:F,'Ref'!G:G,0,0)</f>
        <v>176</v>
      </c>
      <c r="AJ13" s="106">
        <f t="shared" si="3"/>
        <v>0.29866312994939076</v>
      </c>
      <c r="AK13" s="62" t="str">
        <f t="shared" si="0"/>
        <v>6M-1Y</v>
      </c>
      <c r="AL13" s="54"/>
      <c r="AM13" s="10"/>
      <c r="AN13" s="10"/>
      <c r="AO13" s="10"/>
    </row>
    <row r="14" spans="1:43" x14ac:dyDescent="0.35">
      <c r="A14" s="134"/>
      <c r="B14" s="134"/>
      <c r="C14" s="134"/>
      <c r="K14" s="56" t="s">
        <v>253</v>
      </c>
      <c r="L14" s="57">
        <v>500</v>
      </c>
      <c r="M14" s="119" t="s">
        <v>24</v>
      </c>
      <c r="N14" s="58">
        <v>45762</v>
      </c>
      <c r="O14" s="44" t="s">
        <v>248</v>
      </c>
      <c r="P14" s="44" t="s">
        <v>25</v>
      </c>
      <c r="Q14" s="44" t="s">
        <v>248</v>
      </c>
      <c r="R14" s="59">
        <f>R13+Portfolio_by_issuer[[#This Row],[Total Amount]]/Portfolio_by_issuer[[#Totals],[Total Amount]]</f>
        <v>0.62362693531726132</v>
      </c>
      <c r="S14" s="60" t="str">
        <f>_xlfn.XLOOKUP(Portfolio_by_issuer[[#This Row],[Issuer]],Rating!T:T,Rating!U:U,,0)</f>
        <v>BBB</v>
      </c>
      <c r="T14" s="61">
        <f>T13+Portfolio_by_issuer[[#This Row],[Total Amount]]/Portfolio_by_issuer[[#Totals],[Total Amount]]</f>
        <v>0.62362693531726132</v>
      </c>
      <c r="U14" s="54"/>
      <c r="W14" s="120" t="s">
        <v>284</v>
      </c>
      <c r="X14" s="10" t="s">
        <v>67</v>
      </c>
      <c r="Y14" s="10" t="s">
        <v>547</v>
      </c>
      <c r="Z14" s="10" t="s">
        <v>510</v>
      </c>
      <c r="AA14" s="10" t="s">
        <v>506</v>
      </c>
      <c r="AB14" s="102" t="s">
        <v>52</v>
      </c>
      <c r="AC14" s="103">
        <v>46022</v>
      </c>
      <c r="AD14" s="123"/>
      <c r="AE14" s="123" t="s">
        <v>25</v>
      </c>
      <c r="AF14" s="44"/>
      <c r="AG14" s="124">
        <v>397.61059999999998</v>
      </c>
      <c r="AH14" s="104">
        <f>AH13+AG14/Portfolio_by_bond[[#Totals],[Total Amount]]</f>
        <v>0.25623807878007271</v>
      </c>
      <c r="AI14" s="105">
        <f>Portfolio_by_bond[[#This Row],[Total Amount]]-_xlfn.XLOOKUP(Portfolio_by_bond[[#This Row],[Bond_Code]],'Ref'!F:F,'Ref'!G:G,0,0)</f>
        <v>397.61059999999998</v>
      </c>
      <c r="AJ14" s="106">
        <f t="shared" si="3"/>
        <v>0.3119671436506069</v>
      </c>
      <c r="AK14" s="62" t="str">
        <f t="shared" si="0"/>
        <v>6M-1Y</v>
      </c>
      <c r="AL14" s="54"/>
      <c r="AM14" s="10"/>
      <c r="AN14" s="10"/>
      <c r="AO14" s="10"/>
    </row>
    <row r="15" spans="1:43" x14ac:dyDescent="0.35">
      <c r="A15" s="76" t="s">
        <v>503</v>
      </c>
      <c r="B15" s="77">
        <f>_xlfn.XLOOKUP(A15,AM:AM,AN:AN,0,0)</f>
        <v>5850</v>
      </c>
      <c r="C15" s="77">
        <f>_xlfn.XLOOKUP(A15,AP:AP,AQ:AQ,0,0)</f>
        <v>5850</v>
      </c>
      <c r="K15" s="56" t="s">
        <v>265</v>
      </c>
      <c r="L15" s="57">
        <v>3000</v>
      </c>
      <c r="M15" s="119" t="s">
        <v>24</v>
      </c>
      <c r="N15" s="58">
        <v>46146</v>
      </c>
      <c r="O15" s="44" t="s">
        <v>62</v>
      </c>
      <c r="P15" s="44" t="s">
        <v>248</v>
      </c>
      <c r="Q15" s="44" t="s">
        <v>248</v>
      </c>
      <c r="R15" s="78">
        <f>R14+Portfolio_by_issuer[[#This Row],[Total Amount]]/Portfolio_by_issuer[[#Totals],[Total Amount]]</f>
        <v>0.70607506290639699</v>
      </c>
      <c r="S15" s="60" t="str">
        <f>_xlfn.XLOOKUP(Portfolio_by_issuer[[#This Row],[Issuer]],Rating!T:T,Rating!U:U,,0)</f>
        <v>BBB</v>
      </c>
      <c r="T15" s="61">
        <f>T14+Portfolio_by_issuer[[#This Row],[Total Amount]]/Portfolio_by_issuer[[#Totals],[Total Amount]]</f>
        <v>0.70607506290639699</v>
      </c>
      <c r="U15" s="54"/>
      <c r="W15" s="120" t="s">
        <v>284</v>
      </c>
      <c r="X15" s="10" t="s">
        <v>67</v>
      </c>
      <c r="Y15" s="10" t="s">
        <v>569</v>
      </c>
      <c r="Z15" s="10" t="s">
        <v>505</v>
      </c>
      <c r="AA15" s="10"/>
      <c r="AB15" s="102" t="s">
        <v>52</v>
      </c>
      <c r="AC15" s="103">
        <v>46022</v>
      </c>
      <c r="AD15" s="123"/>
      <c r="AE15" s="123" t="s">
        <v>25</v>
      </c>
      <c r="AF15" s="44"/>
      <c r="AG15" s="124">
        <v>1000</v>
      </c>
      <c r="AH15" s="104">
        <f>AH14+AG15/Portfolio_by_bond[[#Totals],[Total Amount]]</f>
        <v>0.28372078797645128</v>
      </c>
      <c r="AI15" s="105">
        <f>Portfolio_by_bond[[#This Row],[Total Amount]]-_xlfn.XLOOKUP(Portfolio_by_bond[[#This Row],[Bond_Code]],'Ref'!F:F,'Ref'!G:G,0,0)</f>
        <v>1000</v>
      </c>
      <c r="AJ15" s="106">
        <f t="shared" si="3"/>
        <v>0.34542705065815682</v>
      </c>
      <c r="AK15" s="62" t="str">
        <f t="shared" si="0"/>
        <v>3-6M</v>
      </c>
      <c r="AL15" s="54"/>
      <c r="AM15" s="10"/>
      <c r="AN15" s="10"/>
      <c r="AO15" s="10"/>
    </row>
    <row r="16" spans="1:43" x14ac:dyDescent="0.35">
      <c r="A16" s="76" t="s">
        <v>504</v>
      </c>
      <c r="B16" s="77">
        <f t="shared" ref="B16:B23" si="4">_xlfn.SINGLE(_xlfn.XLOOKUP(A16,AM:AM,AN:AN,0,0))</f>
        <v>4371</v>
      </c>
      <c r="C16" s="77">
        <f t="shared" ref="C16:C23" si="5">_xlfn.SINGLE(_xlfn.XLOOKUP(A16,AP:AP,AQ:AQ,0,0))</f>
        <v>5371</v>
      </c>
      <c r="K16" s="56" t="s">
        <v>285</v>
      </c>
      <c r="L16" s="57">
        <v>271</v>
      </c>
      <c r="M16" s="119" t="s">
        <v>24</v>
      </c>
      <c r="N16" s="58">
        <v>46172</v>
      </c>
      <c r="O16" s="44" t="s">
        <v>248</v>
      </c>
      <c r="P16" s="44" t="s">
        <v>38</v>
      </c>
      <c r="Q16" s="44" t="s">
        <v>248</v>
      </c>
      <c r="R16" s="59">
        <f>R15+Portfolio_by_issuer[[#This Row],[Total Amount]]/Portfolio_by_issuer[[#Totals],[Total Amount]]</f>
        <v>0.71352287709861562</v>
      </c>
      <c r="S16" s="60" t="str">
        <f>_xlfn.XLOOKUP(Portfolio_by_issuer[[#This Row],[Issuer]],Rating!T:T,Rating!U:U,,0)</f>
        <v>BBB</v>
      </c>
      <c r="T16" s="61">
        <f>T15+Portfolio_by_issuer[[#This Row],[Total Amount]]/Portfolio_by_issuer[[#Totals],[Total Amount]]</f>
        <v>0.71352287709861562</v>
      </c>
      <c r="U16" s="54"/>
      <c r="W16" s="120" t="s">
        <v>284</v>
      </c>
      <c r="X16" s="10" t="s">
        <v>67</v>
      </c>
      <c r="Y16" s="10" t="s">
        <v>548</v>
      </c>
      <c r="Z16" s="10" t="s">
        <v>505</v>
      </c>
      <c r="AA16" s="10"/>
      <c r="AB16" s="102" t="s">
        <v>52</v>
      </c>
      <c r="AC16" s="103">
        <v>46022</v>
      </c>
      <c r="AD16" s="123"/>
      <c r="AE16" s="123" t="s">
        <v>25</v>
      </c>
      <c r="AF16" s="44"/>
      <c r="AG16" s="124">
        <v>1500</v>
      </c>
      <c r="AH16" s="104">
        <f>AH15+AG16/Portfolio_by_bond[[#Totals],[Total Amount]]</f>
        <v>0.32494485177101912</v>
      </c>
      <c r="AI16" s="105">
        <f>Portfolio_by_bond[[#This Row],[Total Amount]]-_xlfn.XLOOKUP(Portfolio_by_bond[[#This Row],[Bond_Code]],'Ref'!F:F,'Ref'!G:G,0,0)</f>
        <v>0</v>
      </c>
      <c r="AJ16" s="106">
        <f t="shared" si="3"/>
        <v>0.34542705065815682</v>
      </c>
      <c r="AK16" s="62" t="str">
        <f t="shared" si="0"/>
        <v>3-6M</v>
      </c>
      <c r="AL16" s="54"/>
      <c r="AM16" s="10"/>
      <c r="AN16" s="10"/>
      <c r="AO16" s="10"/>
    </row>
    <row r="17" spans="1:41" x14ac:dyDescent="0.35">
      <c r="A17" s="76" t="s">
        <v>505</v>
      </c>
      <c r="B17" s="77">
        <f t="shared" si="4"/>
        <v>7300</v>
      </c>
      <c r="C17" s="77">
        <f t="shared" si="5"/>
        <v>7300</v>
      </c>
      <c r="K17" s="56" t="s">
        <v>272</v>
      </c>
      <c r="L17" s="57">
        <v>2000</v>
      </c>
      <c r="M17" s="119" t="s">
        <v>18</v>
      </c>
      <c r="N17" s="58">
        <v>46128</v>
      </c>
      <c r="O17" s="44" t="s">
        <v>248</v>
      </c>
      <c r="P17" s="44" t="s">
        <v>248</v>
      </c>
      <c r="Q17" s="44" t="s">
        <v>248</v>
      </c>
      <c r="R17" s="59">
        <f>R16+Portfolio_by_issuer[[#This Row],[Total Amount]]/Portfolio_by_issuer[[#Totals],[Total Amount]]</f>
        <v>0.76848829549137276</v>
      </c>
      <c r="S17" s="60" t="str">
        <f>_xlfn.XLOOKUP(Portfolio_by_issuer[[#This Row],[Issuer]],Rating!T:T,Rating!U:U,,0)</f>
        <v>BB</v>
      </c>
      <c r="T17" s="61">
        <f>T16+Portfolio_by_issuer[[#This Row],[Total Amount]]/Portfolio_by_issuer[[#Totals],[Total Amount]]</f>
        <v>0.76848829549137276</v>
      </c>
      <c r="U17" s="54"/>
      <c r="W17" s="120" t="s">
        <v>273</v>
      </c>
      <c r="X17" s="10" t="s">
        <v>54</v>
      </c>
      <c r="Y17" s="10" t="s">
        <v>539</v>
      </c>
      <c r="Z17" s="10" t="s">
        <v>510</v>
      </c>
      <c r="AA17" s="10" t="s">
        <v>504</v>
      </c>
      <c r="AB17" s="102" t="s">
        <v>52</v>
      </c>
      <c r="AC17" s="103">
        <v>46199</v>
      </c>
      <c r="AD17" s="123"/>
      <c r="AE17" s="123" t="s">
        <v>27</v>
      </c>
      <c r="AF17" s="44"/>
      <c r="AG17" s="124">
        <v>1000</v>
      </c>
      <c r="AH17" s="104">
        <f>AH16+AG17/Portfolio_by_bond[[#Totals],[Total Amount]]</f>
        <v>0.35242756096739769</v>
      </c>
      <c r="AI17" s="105">
        <f>Portfolio_by_bond[[#This Row],[Total Amount]]-_xlfn.XLOOKUP(Portfolio_by_bond[[#This Row],[Bond_Code]],'Ref'!F:F,'Ref'!G:G,0,0)</f>
        <v>1000</v>
      </c>
      <c r="AJ17" s="106">
        <f t="shared" si="3"/>
        <v>0.37888695766570674</v>
      </c>
      <c r="AK17" s="62" t="str">
        <f t="shared" si="0"/>
        <v>1-3M</v>
      </c>
      <c r="AL17" s="54"/>
      <c r="AM17" s="10"/>
      <c r="AN17" s="10"/>
      <c r="AO17" s="10"/>
    </row>
    <row r="18" spans="1:41" x14ac:dyDescent="0.35">
      <c r="A18" s="76" t="s">
        <v>506</v>
      </c>
      <c r="B18" s="77">
        <f t="shared" si="4"/>
        <v>11894</v>
      </c>
      <c r="C18" s="77">
        <f t="shared" si="5"/>
        <v>14291.6106</v>
      </c>
      <c r="K18" s="56" t="s">
        <v>389</v>
      </c>
      <c r="L18" s="79">
        <v>800</v>
      </c>
      <c r="M18" s="119" t="s">
        <v>18</v>
      </c>
      <c r="N18" s="58">
        <v>45747</v>
      </c>
      <c r="O18" s="44" t="s">
        <v>62</v>
      </c>
      <c r="P18" s="44" t="s">
        <v>248</v>
      </c>
      <c r="Q18" s="44" t="s">
        <v>248</v>
      </c>
      <c r="R18" s="59">
        <f>R17+Portfolio_by_issuer[[#This Row],[Total Amount]]/Portfolio_by_issuer[[#Totals],[Total Amount]]</f>
        <v>0.79047446284847567</v>
      </c>
      <c r="S18" s="60" t="str">
        <f>_xlfn.XLOOKUP(Portfolio_by_issuer[[#This Row],[Issuer]],Rating!T:T,Rating!U:U,,0)</f>
        <v>BB</v>
      </c>
      <c r="T18" s="61">
        <f>T17+Portfolio_by_issuer[[#This Row],[Total Amount]]/Portfolio_by_issuer[[#Totals],[Total Amount]]</f>
        <v>0.79047446284847567</v>
      </c>
      <c r="U18" s="54"/>
      <c r="W18" s="120" t="s">
        <v>273</v>
      </c>
      <c r="X18" s="10" t="s">
        <v>54</v>
      </c>
      <c r="Y18" s="10" t="s">
        <v>540</v>
      </c>
      <c r="Z18" s="10" t="s">
        <v>503</v>
      </c>
      <c r="AA18" s="10"/>
      <c r="AB18" s="102" t="s">
        <v>52</v>
      </c>
      <c r="AC18" s="103">
        <v>46199</v>
      </c>
      <c r="AD18" s="123"/>
      <c r="AE18" s="123" t="s">
        <v>27</v>
      </c>
      <c r="AF18" s="44"/>
      <c r="AG18" s="124">
        <v>1500</v>
      </c>
      <c r="AH18" s="104">
        <f>AH17+AG18/Portfolio_by_bond[[#Totals],[Total Amount]]</f>
        <v>0.39365162476196552</v>
      </c>
      <c r="AI18" s="105">
        <f>Portfolio_by_bond[[#This Row],[Total Amount]]-_xlfn.XLOOKUP(Portfolio_by_bond[[#This Row],[Bond_Code]],'Ref'!F:F,'Ref'!G:G,0,0)</f>
        <v>1500</v>
      </c>
      <c r="AJ18" s="106">
        <f t="shared" si="3"/>
        <v>0.42907681817703164</v>
      </c>
      <c r="AK18" s="62" t="str">
        <f t="shared" si="0"/>
        <v>&lt;1M</v>
      </c>
      <c r="AL18" s="54"/>
      <c r="AM18" s="10"/>
      <c r="AN18" s="10"/>
      <c r="AO18" s="10"/>
    </row>
    <row r="19" spans="1:41" x14ac:dyDescent="0.35">
      <c r="A19" s="76" t="s">
        <v>508</v>
      </c>
      <c r="B19" s="77">
        <f t="shared" si="4"/>
        <v>500</v>
      </c>
      <c r="C19" s="77">
        <f t="shared" si="5"/>
        <v>2000</v>
      </c>
      <c r="K19" s="56" t="s">
        <v>254</v>
      </c>
      <c r="L19" s="79">
        <v>4500</v>
      </c>
      <c r="M19" s="119" t="s">
        <v>18</v>
      </c>
      <c r="N19" s="58">
        <v>45770</v>
      </c>
      <c r="O19" s="44" t="s">
        <v>248</v>
      </c>
      <c r="P19" s="44" t="s">
        <v>27</v>
      </c>
      <c r="Q19" s="44" t="s">
        <v>248</v>
      </c>
      <c r="R19" s="59">
        <f>R18+Portfolio_by_issuer[[#This Row],[Total Amount]]/Portfolio_by_issuer[[#Totals],[Total Amount]]</f>
        <v>0.91414665423217922</v>
      </c>
      <c r="S19" s="60" t="str">
        <f>_xlfn.XLOOKUP(Portfolio_by_issuer[[#This Row],[Issuer]],Rating!T:T,Rating!U:U,,0)</f>
        <v>BB</v>
      </c>
      <c r="T19" s="61">
        <f>T18+Portfolio_by_issuer[[#This Row],[Total Amount]]/Portfolio_by_issuer[[#Totals],[Total Amount]]</f>
        <v>0.91414665423217922</v>
      </c>
      <c r="U19" s="54"/>
      <c r="W19" s="120" t="s">
        <v>271</v>
      </c>
      <c r="X19" s="10" t="s">
        <v>50</v>
      </c>
      <c r="Y19" s="10" t="s">
        <v>571</v>
      </c>
      <c r="Z19" s="10" t="s">
        <v>506</v>
      </c>
      <c r="AA19" s="10"/>
      <c r="AB19" s="102" t="s">
        <v>52</v>
      </c>
      <c r="AC19" s="103">
        <v>46164</v>
      </c>
      <c r="AD19" s="123"/>
      <c r="AE19" s="123" t="s">
        <v>38</v>
      </c>
      <c r="AF19" s="44"/>
      <c r="AG19" s="124">
        <v>268</v>
      </c>
      <c r="AH19" s="104">
        <f>AH18+AG19/Portfolio_by_bond[[#Totals],[Total Amount]]</f>
        <v>0.40101699082659498</v>
      </c>
      <c r="AI19" s="105">
        <f>Portfolio_by_bond[[#This Row],[Total Amount]]-_xlfn.XLOOKUP(Portfolio_by_bond[[#This Row],[Bond_Code]],'Ref'!F:F,'Ref'!G:G,0,0)</f>
        <v>268</v>
      </c>
      <c r="AJ19" s="106">
        <f t="shared" si="3"/>
        <v>0.43804407325505501</v>
      </c>
      <c r="AK19" s="62" t="str">
        <f t="shared" si="0"/>
        <v>6M-1Y</v>
      </c>
      <c r="AL19" s="54"/>
    </row>
    <row r="20" spans="1:41" x14ac:dyDescent="0.35">
      <c r="A20" s="76" t="s">
        <v>507</v>
      </c>
      <c r="B20" s="77">
        <f t="shared" si="4"/>
        <v>3000</v>
      </c>
      <c r="C20" s="77">
        <f t="shared" si="5"/>
        <v>1000</v>
      </c>
      <c r="K20" s="56" t="s">
        <v>280</v>
      </c>
      <c r="L20" s="79">
        <v>1300</v>
      </c>
      <c r="M20" s="119" t="s">
        <v>18</v>
      </c>
      <c r="N20" s="58">
        <v>46190</v>
      </c>
      <c r="O20" s="44" t="s">
        <v>248</v>
      </c>
      <c r="P20" s="44" t="s">
        <v>248</v>
      </c>
      <c r="Q20" s="44" t="s">
        <v>62</v>
      </c>
      <c r="R20" s="59">
        <f>R19+Portfolio_by_issuer[[#This Row],[Total Amount]]/Portfolio_by_issuer[[#Totals],[Total Amount]]</f>
        <v>0.94987417618747139</v>
      </c>
      <c r="S20" s="60" t="str">
        <f>_xlfn.XLOOKUP(Portfolio_by_issuer[[#This Row],[Issuer]],Rating!T:T,Rating!U:U,,0)</f>
        <v>BB</v>
      </c>
      <c r="T20" s="61">
        <f>T19+Portfolio_by_issuer[[#This Row],[Total Amount]]/Portfolio_by_issuer[[#Totals],[Total Amount]]</f>
        <v>0.94987417618747139</v>
      </c>
      <c r="U20" s="54"/>
      <c r="W20" s="120" t="s">
        <v>271</v>
      </c>
      <c r="X20" s="10" t="s">
        <v>50</v>
      </c>
      <c r="Y20" s="10" t="s">
        <v>570</v>
      </c>
      <c r="Z20" s="10" t="s">
        <v>506</v>
      </c>
      <c r="AA20" s="10"/>
      <c r="AB20" s="102" t="s">
        <v>52</v>
      </c>
      <c r="AC20" s="103">
        <v>46164</v>
      </c>
      <c r="AD20" s="123"/>
      <c r="AE20" s="123" t="s">
        <v>38</v>
      </c>
      <c r="AF20" s="44"/>
      <c r="AG20" s="124">
        <v>200</v>
      </c>
      <c r="AH20" s="104">
        <f>AH19+AG20/Portfolio_by_bond[[#Totals],[Total Amount]]</f>
        <v>0.4065135326658707</v>
      </c>
      <c r="AI20" s="105">
        <f>Portfolio_by_bond[[#This Row],[Total Amount]]-_xlfn.XLOOKUP(Portfolio_by_bond[[#This Row],[Bond_Code]],'Ref'!F:F,'Ref'!G:G,0,0)</f>
        <v>200</v>
      </c>
      <c r="AJ20" s="106">
        <f t="shared" si="3"/>
        <v>0.44473605465656502</v>
      </c>
      <c r="AK20" s="62" t="str">
        <f t="shared" si="0"/>
        <v>6M-1Y</v>
      </c>
      <c r="AL20" s="54"/>
    </row>
    <row r="21" spans="1:41" x14ac:dyDescent="0.35">
      <c r="A21" s="76" t="s">
        <v>509</v>
      </c>
      <c r="B21" s="77">
        <f t="shared" si="4"/>
        <v>573.90402104658006</v>
      </c>
      <c r="C21" s="77">
        <f t="shared" si="5"/>
        <v>573.90402104658006</v>
      </c>
      <c r="K21" s="56" t="s">
        <v>263</v>
      </c>
      <c r="L21" s="79">
        <v>250</v>
      </c>
      <c r="M21" s="119" t="s">
        <v>40</v>
      </c>
      <c r="N21" s="58">
        <v>45849</v>
      </c>
      <c r="O21" s="44" t="s">
        <v>248</v>
      </c>
      <c r="P21" s="44" t="s">
        <v>42</v>
      </c>
      <c r="Q21" s="44" t="s">
        <v>248</v>
      </c>
      <c r="R21" s="59">
        <f>R20+Portfolio_by_issuer[[#This Row],[Total Amount]]/Portfolio_by_issuer[[#Totals],[Total Amount]]</f>
        <v>0.95674485348656602</v>
      </c>
      <c r="S21" s="60" t="str">
        <f>_xlfn.XLOOKUP(Portfolio_by_issuer[[#This Row],[Issuer]],Rating!T:T,Rating!U:U,,0)</f>
        <v>B</v>
      </c>
      <c r="T21" s="61">
        <f>T20+Portfolio_by_issuer[[#This Row],[Total Amount]]/Portfolio_by_issuer[[#Totals],[Total Amount]]</f>
        <v>0.95674485348656602</v>
      </c>
      <c r="U21" s="54"/>
      <c r="W21" s="120" t="s">
        <v>271</v>
      </c>
      <c r="X21" s="10" t="s">
        <v>50</v>
      </c>
      <c r="Y21" s="10" t="s">
        <v>546</v>
      </c>
      <c r="Z21" s="10" t="s">
        <v>506</v>
      </c>
      <c r="AA21" s="10"/>
      <c r="AB21" s="102" t="s">
        <v>52</v>
      </c>
      <c r="AC21" s="103">
        <v>46164</v>
      </c>
      <c r="AD21" s="123"/>
      <c r="AE21" s="123" t="s">
        <v>38</v>
      </c>
      <c r="AF21" s="44"/>
      <c r="AG21" s="124">
        <v>100</v>
      </c>
      <c r="AH21" s="104">
        <f>AH20+AG21/Portfolio_by_bond[[#Totals],[Total Amount]]</f>
        <v>0.40926180358550857</v>
      </c>
      <c r="AI21" s="105">
        <f>Portfolio_by_bond[[#This Row],[Total Amount]]-_xlfn.XLOOKUP(Portfolio_by_bond[[#This Row],[Bond_Code]],'Ref'!F:F,'Ref'!G:G,0,0)</f>
        <v>100</v>
      </c>
      <c r="AJ21" s="106">
        <f t="shared" si="3"/>
        <v>0.44808204535731999</v>
      </c>
      <c r="AK21" s="62" t="str">
        <f t="shared" si="0"/>
        <v>6M-1Y</v>
      </c>
      <c r="AL21" s="54"/>
    </row>
    <row r="22" spans="1:41" x14ac:dyDescent="0.35">
      <c r="A22" s="76" t="s">
        <v>510</v>
      </c>
      <c r="B22" s="77">
        <f t="shared" si="4"/>
        <v>2897.6106</v>
      </c>
      <c r="C22" s="77">
        <f t="shared" si="5"/>
        <v>0</v>
      </c>
      <c r="E22" s="10"/>
      <c r="F22" s="109"/>
      <c r="K22" s="56" t="s">
        <v>259</v>
      </c>
      <c r="L22" s="79">
        <v>1000</v>
      </c>
      <c r="M22" s="119" t="s">
        <v>29</v>
      </c>
      <c r="N22" s="58">
        <v>45835</v>
      </c>
      <c r="O22" s="44" t="s">
        <v>248</v>
      </c>
      <c r="P22" s="44" t="s">
        <v>248</v>
      </c>
      <c r="Q22" s="44" t="s">
        <v>248</v>
      </c>
      <c r="R22" s="59">
        <f>R21+Portfolio_by_issuer[[#This Row],[Total Amount]]/Portfolio_by_issuer[[#Totals],[Total Amount]]</f>
        <v>0.98422756268294453</v>
      </c>
      <c r="S22" s="60" t="str">
        <f>_xlfn.XLOOKUP(Portfolio_by_issuer[[#This Row],[Issuer]],Rating!T:T,Rating!U:U,,0)</f>
        <v>CC</v>
      </c>
      <c r="T22" s="61">
        <f>T21+Portfolio_by_issuer[[#This Row],[Total Amount]]/Portfolio_by_issuer[[#Totals],[Total Amount]]</f>
        <v>0.98422756268294453</v>
      </c>
      <c r="U22" s="54"/>
      <c r="W22" s="120" t="s">
        <v>271</v>
      </c>
      <c r="X22" s="10" t="s">
        <v>50</v>
      </c>
      <c r="Y22" s="10" t="s">
        <v>545</v>
      </c>
      <c r="Z22" s="10" t="s">
        <v>506</v>
      </c>
      <c r="AA22" s="10"/>
      <c r="AB22" s="102" t="s">
        <v>52</v>
      </c>
      <c r="AC22" s="103">
        <v>46164</v>
      </c>
      <c r="AD22" s="123"/>
      <c r="AE22" s="123" t="s">
        <v>38</v>
      </c>
      <c r="AF22" s="44"/>
      <c r="AG22" s="124">
        <v>300</v>
      </c>
      <c r="AH22" s="104">
        <f>AH21+AG22/Portfolio_by_bond[[#Totals],[Total Amount]]</f>
        <v>0.41750661634442215</v>
      </c>
      <c r="AI22" s="105">
        <f>Portfolio_by_bond[[#This Row],[Total Amount]]-_xlfn.XLOOKUP(Portfolio_by_bond[[#This Row],[Bond_Code]],'Ref'!F:F,'Ref'!G:G,0,0)</f>
        <v>300</v>
      </c>
      <c r="AJ22" s="106">
        <f t="shared" si="3"/>
        <v>0.45812001745958497</v>
      </c>
      <c r="AK22" s="62" t="str">
        <f t="shared" si="0"/>
        <v>6M-1Y</v>
      </c>
      <c r="AL22" s="54"/>
    </row>
    <row r="23" spans="1:41" x14ac:dyDescent="0.35">
      <c r="A23" s="76" t="s">
        <v>511</v>
      </c>
      <c r="B23" s="77">
        <f t="shared" si="4"/>
        <v>0</v>
      </c>
      <c r="C23" s="77">
        <f t="shared" si="5"/>
        <v>0</v>
      </c>
      <c r="E23" s="10"/>
      <c r="F23" s="109"/>
      <c r="K23" s="56" t="s">
        <v>587</v>
      </c>
      <c r="L23" s="79">
        <v>573.90402104658006</v>
      </c>
      <c r="M23" s="119" t="s">
        <v>40</v>
      </c>
      <c r="N23" s="58"/>
      <c r="O23" s="44"/>
      <c r="P23" s="44"/>
      <c r="R23" s="59">
        <f>R22+Portfolio_by_issuer[[#This Row],[Total Amount]]/Portfolio_by_issuer[[#Totals],[Total Amount]]</f>
        <v>1</v>
      </c>
      <c r="S23" s="60" t="s">
        <v>40</v>
      </c>
      <c r="T23" s="61">
        <f>T22+Portfolio_by_issuer[[#This Row],[Total Amount]]/Portfolio_by_issuer[[#Totals],[Total Amount]]</f>
        <v>1</v>
      </c>
      <c r="U23" s="54"/>
      <c r="W23" s="120" t="s">
        <v>274</v>
      </c>
      <c r="X23" s="10" t="s">
        <v>55</v>
      </c>
      <c r="Y23" s="10" t="s">
        <v>575</v>
      </c>
      <c r="Z23" s="10" t="s">
        <v>506</v>
      </c>
      <c r="AA23" s="10"/>
      <c r="AB23" s="102" t="s">
        <v>52</v>
      </c>
      <c r="AC23" s="103">
        <v>46142</v>
      </c>
      <c r="AD23" s="123"/>
      <c r="AE23" s="123" t="s">
        <v>27</v>
      </c>
      <c r="AF23" s="44"/>
      <c r="AG23" s="124">
        <v>500</v>
      </c>
      <c r="AH23" s="104">
        <f>AH22+AG23/Portfolio_by_bond[[#Totals],[Total Amount]]</f>
        <v>0.43124797094261141</v>
      </c>
      <c r="AI23" s="105">
        <f>Portfolio_by_bond[[#This Row],[Total Amount]]-_xlfn.XLOOKUP(Portfolio_by_bond[[#This Row],[Bond_Code]],'Ref'!F:F,'Ref'!G:G,0,0)</f>
        <v>500</v>
      </c>
      <c r="AJ23" s="106">
        <f t="shared" si="3"/>
        <v>0.47484997096335996</v>
      </c>
      <c r="AK23" s="62" t="str">
        <f t="shared" si="0"/>
        <v>6M-1Y</v>
      </c>
      <c r="AL23" s="54"/>
    </row>
    <row r="24" spans="1:41" x14ac:dyDescent="0.35">
      <c r="A24" s="89" t="s">
        <v>440</v>
      </c>
      <c r="B24" s="90">
        <f>SUM(B15:B23)</f>
        <v>36386.514621046583</v>
      </c>
      <c r="C24" s="90">
        <f>SUM(C15:C23)</f>
        <v>36386.514621046583</v>
      </c>
      <c r="E24" s="10"/>
      <c r="F24" s="109"/>
      <c r="K24" s="80" t="s">
        <v>440</v>
      </c>
      <c r="L24" s="81">
        <f>SUBTOTAL(109,Portfolio_by_issuer[Total Amount])</f>
        <v>36386.514621046583</v>
      </c>
      <c r="M24" s="82"/>
      <c r="N24" s="83"/>
      <c r="O24" s="82"/>
      <c r="P24" s="82"/>
      <c r="Q24" s="82"/>
      <c r="R24" s="84"/>
      <c r="S24" s="85"/>
      <c r="T24" s="85"/>
      <c r="U24" s="54"/>
      <c r="W24" s="120" t="s">
        <v>261</v>
      </c>
      <c r="X24" s="10" t="s">
        <v>37</v>
      </c>
      <c r="Y24" s="10" t="s">
        <v>572</v>
      </c>
      <c r="Z24" s="10" t="s">
        <v>505</v>
      </c>
      <c r="AA24" s="10"/>
      <c r="AB24" s="102" t="s">
        <v>33</v>
      </c>
      <c r="AC24" s="103">
        <v>46141</v>
      </c>
      <c r="AD24" s="123" t="s">
        <v>62</v>
      </c>
      <c r="AE24" s="123" t="s">
        <v>38</v>
      </c>
      <c r="AF24" s="44"/>
      <c r="AG24" s="124">
        <v>1000</v>
      </c>
      <c r="AH24" s="104">
        <f>AH23+AG24/Portfolio_by_bond[[#Totals],[Total Amount]]</f>
        <v>0.45873068013898999</v>
      </c>
      <c r="AI24" s="105">
        <f>Portfolio_by_bond[[#This Row],[Total Amount]]-_xlfn.XLOOKUP(Portfolio_by_bond[[#This Row],[Bond_Code]],'Ref'!F:F,'Ref'!G:G,0,0)</f>
        <v>1000</v>
      </c>
      <c r="AJ24" s="106">
        <f t="shared" si="3"/>
        <v>0.50830987797090987</v>
      </c>
      <c r="AK24" s="62" t="str">
        <f t="shared" si="0"/>
        <v>3-6M</v>
      </c>
      <c r="AL24" s="54"/>
    </row>
    <row r="25" spans="1:41" x14ac:dyDescent="0.35">
      <c r="E25" s="10"/>
      <c r="F25" s="109"/>
      <c r="R25" s="91"/>
      <c r="S25" s="91"/>
      <c r="T25" s="91"/>
      <c r="U25" s="54"/>
      <c r="W25" s="120" t="s">
        <v>261</v>
      </c>
      <c r="X25" s="10" t="s">
        <v>37</v>
      </c>
      <c r="Y25" s="10" t="s">
        <v>573</v>
      </c>
      <c r="Z25" s="10" t="s">
        <v>506</v>
      </c>
      <c r="AA25" s="10"/>
      <c r="AB25" s="102" t="s">
        <v>33</v>
      </c>
      <c r="AC25" s="103">
        <v>46141</v>
      </c>
      <c r="AD25" s="123" t="s">
        <v>62</v>
      </c>
      <c r="AE25" s="123" t="s">
        <v>38</v>
      </c>
      <c r="AF25" s="44"/>
      <c r="AG25" s="124">
        <v>2000</v>
      </c>
      <c r="AH25" s="104">
        <f>AH24+AG25/Portfolio_by_bond[[#Totals],[Total Amount]]</f>
        <v>0.51369609853174714</v>
      </c>
      <c r="AI25" s="105">
        <f>Portfolio_by_bond[[#This Row],[Total Amount]]-_xlfn.XLOOKUP(Portfolio_by_bond[[#This Row],[Bond_Code]],'Ref'!F:F,'Ref'!G:G,0,0)</f>
        <v>2000</v>
      </c>
      <c r="AJ25" s="106">
        <f t="shared" si="3"/>
        <v>0.57522969198600971</v>
      </c>
      <c r="AK25" s="62" t="str">
        <f t="shared" si="0"/>
        <v>6M-1Y</v>
      </c>
      <c r="AL25" s="54"/>
    </row>
    <row r="26" spans="1:41" x14ac:dyDescent="0.35">
      <c r="E26" s="10"/>
      <c r="F26" s="109"/>
      <c r="U26" s="54"/>
      <c r="W26" s="120" t="s">
        <v>257</v>
      </c>
      <c r="X26" s="10" t="s">
        <v>32</v>
      </c>
      <c r="Y26" s="10" t="s">
        <v>574</v>
      </c>
      <c r="Z26" s="10" t="s">
        <v>503</v>
      </c>
      <c r="AA26" s="10"/>
      <c r="AB26" s="102" t="s">
        <v>33</v>
      </c>
      <c r="AC26" s="103">
        <v>45919</v>
      </c>
      <c r="AD26" s="123"/>
      <c r="AE26" s="123" t="s">
        <v>27</v>
      </c>
      <c r="AF26" s="44"/>
      <c r="AG26" s="124">
        <v>1000</v>
      </c>
      <c r="AH26" s="104">
        <f>AH25+AG26/Portfolio_by_bond[[#Totals],[Total Amount]]</f>
        <v>0.54117880772812565</v>
      </c>
      <c r="AI26" s="105">
        <f>Portfolio_by_bond[[#This Row],[Total Amount]]-_xlfn.XLOOKUP(Portfolio_by_bond[[#This Row],[Bond_Code]],'Ref'!F:F,'Ref'!G:G,0,0)</f>
        <v>1000</v>
      </c>
      <c r="AJ26" s="106">
        <f t="shared" si="3"/>
        <v>0.60868959899355968</v>
      </c>
      <c r="AK26" s="62" t="str">
        <f t="shared" si="0"/>
        <v>&lt;1M</v>
      </c>
      <c r="AL26" s="54"/>
    </row>
    <row r="27" spans="1:41" x14ac:dyDescent="0.35">
      <c r="E27" s="10"/>
      <c r="F27" s="109"/>
      <c r="U27" s="54"/>
      <c r="W27" s="120" t="s">
        <v>257</v>
      </c>
      <c r="X27" s="10" t="s">
        <v>32</v>
      </c>
      <c r="Y27" s="10" t="s">
        <v>549</v>
      </c>
      <c r="Z27" s="10" t="s">
        <v>503</v>
      </c>
      <c r="AA27" s="10"/>
      <c r="AB27" s="102" t="s">
        <v>33</v>
      </c>
      <c r="AC27" s="103">
        <v>45919</v>
      </c>
      <c r="AD27" s="123"/>
      <c r="AE27" s="123" t="s">
        <v>27</v>
      </c>
      <c r="AF27" s="44"/>
      <c r="AG27" s="124">
        <v>500</v>
      </c>
      <c r="AH27" s="104">
        <f>AH26+AG27/Portfolio_by_bond[[#Totals],[Total Amount]]</f>
        <v>0.55492016232631491</v>
      </c>
      <c r="AI27" s="105">
        <f>Portfolio_by_bond[[#This Row],[Total Amount]]-_xlfn.XLOOKUP(Portfolio_by_bond[[#This Row],[Bond_Code]],'Ref'!F:F,'Ref'!G:G,0,0)</f>
        <v>500</v>
      </c>
      <c r="AJ27" s="106">
        <f t="shared" si="3"/>
        <v>0.62541955249733461</v>
      </c>
      <c r="AK27" s="62" t="str">
        <f t="shared" si="0"/>
        <v>&lt;1M</v>
      </c>
      <c r="AL27" s="54"/>
    </row>
    <row r="28" spans="1:41" x14ac:dyDescent="0.35">
      <c r="E28" s="10"/>
      <c r="F28" s="109"/>
      <c r="U28" s="54"/>
      <c r="W28" s="120" t="s">
        <v>253</v>
      </c>
      <c r="X28" s="10" t="s">
        <v>23</v>
      </c>
      <c r="Y28" s="10" t="s">
        <v>553</v>
      </c>
      <c r="Z28" s="10" t="s">
        <v>510</v>
      </c>
      <c r="AA28" s="10" t="s">
        <v>508</v>
      </c>
      <c r="AB28" s="102" t="s">
        <v>33</v>
      </c>
      <c r="AC28" s="103">
        <v>46211</v>
      </c>
      <c r="AD28" s="123" t="s">
        <v>65</v>
      </c>
      <c r="AE28" s="123" t="s">
        <v>25</v>
      </c>
      <c r="AF28" s="44"/>
      <c r="AG28" s="124">
        <v>500</v>
      </c>
      <c r="AH28" s="104">
        <f>AH27+AG28/Portfolio_by_bond[[#Totals],[Total Amount]]</f>
        <v>0.56866151692450417</v>
      </c>
      <c r="AI28" s="105">
        <f>Portfolio_by_bond[[#This Row],[Total Amount]]-_xlfn.XLOOKUP(Portfolio_by_bond[[#This Row],[Bond_Code]],'Ref'!F:F,'Ref'!G:G,0,0)</f>
        <v>500</v>
      </c>
      <c r="AJ28" s="106">
        <f t="shared" si="3"/>
        <v>0.64214950600110954</v>
      </c>
      <c r="AK28" s="62" t="str">
        <f t="shared" si="0"/>
        <v>1-2Y</v>
      </c>
      <c r="AL28" s="54"/>
    </row>
    <row r="29" spans="1:41" x14ac:dyDescent="0.35">
      <c r="E29" s="10"/>
      <c r="F29" s="109"/>
      <c r="U29" s="54"/>
      <c r="W29" s="120" t="s">
        <v>285</v>
      </c>
      <c r="X29" s="10" t="s">
        <v>68</v>
      </c>
      <c r="Y29" s="10" t="s">
        <v>576</v>
      </c>
      <c r="Z29" s="10" t="s">
        <v>504</v>
      </c>
      <c r="AA29" s="10"/>
      <c r="AB29" s="102" t="s">
        <v>24</v>
      </c>
      <c r="AC29" s="103">
        <v>46172</v>
      </c>
      <c r="AD29" s="123"/>
      <c r="AE29" s="123" t="s">
        <v>38</v>
      </c>
      <c r="AF29" s="44"/>
      <c r="AG29" s="124">
        <v>271</v>
      </c>
      <c r="AH29" s="104">
        <f>AH28+AG29/Portfolio_by_bond[[#Totals],[Total Amount]]</f>
        <v>0.5761093311167228</v>
      </c>
      <c r="AI29" s="105">
        <f>Portfolio_by_bond[[#This Row],[Total Amount]]-_xlfn.XLOOKUP(Portfolio_by_bond[[#This Row],[Bond_Code]],'Ref'!F:F,'Ref'!G:G,0,0)</f>
        <v>271</v>
      </c>
      <c r="AJ29" s="106">
        <f t="shared" si="3"/>
        <v>0.65121714080015558</v>
      </c>
      <c r="AK29" s="62" t="str">
        <f t="shared" si="0"/>
        <v>1-3M</v>
      </c>
      <c r="AL29" s="54"/>
    </row>
    <row r="30" spans="1:41" x14ac:dyDescent="0.35">
      <c r="E30" s="10"/>
      <c r="F30" s="109"/>
      <c r="U30" s="54"/>
      <c r="W30" s="120" t="s">
        <v>265</v>
      </c>
      <c r="X30" s="10" t="s">
        <v>44</v>
      </c>
      <c r="Y30" s="10" t="s">
        <v>552</v>
      </c>
      <c r="Z30" s="10" t="s">
        <v>506</v>
      </c>
      <c r="AA30" s="10" t="s">
        <v>506</v>
      </c>
      <c r="AB30" s="102" t="s">
        <v>24</v>
      </c>
      <c r="AC30" s="103">
        <v>46146</v>
      </c>
      <c r="AD30" s="123" t="s">
        <v>62</v>
      </c>
      <c r="AE30" s="123"/>
      <c r="AF30" s="44"/>
      <c r="AG30" s="124">
        <v>1000</v>
      </c>
      <c r="AH30" s="104">
        <f>AH29+AG30/Portfolio_by_bond[[#Totals],[Total Amount]]</f>
        <v>0.60359204031310132</v>
      </c>
      <c r="AI30" s="105">
        <f>Portfolio_by_bond[[#This Row],[Total Amount]]-_xlfn.XLOOKUP(Portfolio_by_bond[[#This Row],[Bond_Code]],'Ref'!F:F,'Ref'!G:G,0,0)</f>
        <v>0</v>
      </c>
      <c r="AJ30" s="106">
        <f t="shared" si="3"/>
        <v>0.65121714080015558</v>
      </c>
      <c r="AK30" s="62" t="str">
        <f t="shared" si="0"/>
        <v>6M-1Y</v>
      </c>
      <c r="AL30" s="54"/>
    </row>
    <row r="31" spans="1:41" x14ac:dyDescent="0.35">
      <c r="E31" s="10"/>
      <c r="F31" s="109"/>
      <c r="U31" s="54"/>
      <c r="W31" s="120" t="s">
        <v>265</v>
      </c>
      <c r="X31" s="10" t="s">
        <v>44</v>
      </c>
      <c r="Y31" s="10" t="s">
        <v>551</v>
      </c>
      <c r="Z31" s="10" t="s">
        <v>506</v>
      </c>
      <c r="AA31" s="10" t="s">
        <v>506</v>
      </c>
      <c r="AB31" s="102" t="s">
        <v>24</v>
      </c>
      <c r="AC31" s="103">
        <v>46146</v>
      </c>
      <c r="AD31" s="123" t="s">
        <v>62</v>
      </c>
      <c r="AE31" s="123"/>
      <c r="AF31" s="44"/>
      <c r="AG31" s="124">
        <v>2000</v>
      </c>
      <c r="AH31" s="104">
        <f>AH30+AG31/Portfolio_by_bond[[#Totals],[Total Amount]]</f>
        <v>0.65855745870585847</v>
      </c>
      <c r="AI31" s="105">
        <f>Portfolio_by_bond[[#This Row],[Total Amount]]-_xlfn.XLOOKUP(Portfolio_by_bond[[#This Row],[Bond_Code]],'Ref'!F:F,'Ref'!G:G,0,0)</f>
        <v>0</v>
      </c>
      <c r="AJ31" s="106">
        <f t="shared" si="3"/>
        <v>0.65121714080015558</v>
      </c>
      <c r="AK31" s="62" t="str">
        <f t="shared" si="0"/>
        <v>6M-1Y</v>
      </c>
      <c r="AL31" s="54"/>
    </row>
    <row r="32" spans="1:41" x14ac:dyDescent="0.35">
      <c r="E32" s="10"/>
      <c r="F32" s="109"/>
      <c r="U32" s="54"/>
      <c r="W32" s="120" t="s">
        <v>254</v>
      </c>
      <c r="X32" s="10" t="s">
        <v>26</v>
      </c>
      <c r="Y32" s="10" t="s">
        <v>555</v>
      </c>
      <c r="Z32" s="10" t="s">
        <v>503</v>
      </c>
      <c r="AA32" s="10" t="s">
        <v>503</v>
      </c>
      <c r="AB32" s="102" t="s">
        <v>24</v>
      </c>
      <c r="AC32" s="103">
        <v>46206</v>
      </c>
      <c r="AD32" s="123"/>
      <c r="AE32" s="123" t="s">
        <v>27</v>
      </c>
      <c r="AF32" s="44"/>
      <c r="AG32" s="124">
        <v>2000</v>
      </c>
      <c r="AH32" s="104">
        <f>AH31+AG32/Portfolio_by_bond[[#Totals],[Total Amount]]</f>
        <v>0.71352287709861562</v>
      </c>
      <c r="AI32" s="105">
        <f>Portfolio_by_bond[[#This Row],[Total Amount]]-_xlfn.XLOOKUP(Portfolio_by_bond[[#This Row],[Bond_Code]],'Ref'!F:F,'Ref'!G:G,0,0)</f>
        <v>2000</v>
      </c>
      <c r="AJ32" s="106">
        <f t="shared" si="3"/>
        <v>0.71813695481525541</v>
      </c>
      <c r="AK32" s="62" t="str">
        <f t="shared" si="0"/>
        <v>&lt;1M</v>
      </c>
      <c r="AL32" s="54"/>
    </row>
    <row r="33" spans="5:38" x14ac:dyDescent="0.35">
      <c r="E33" s="10"/>
      <c r="F33" s="109"/>
      <c r="U33" s="54"/>
      <c r="W33" s="120" t="s">
        <v>254</v>
      </c>
      <c r="X33" s="10" t="s">
        <v>26</v>
      </c>
      <c r="Y33" s="10" t="s">
        <v>554</v>
      </c>
      <c r="Z33" s="10" t="s">
        <v>504</v>
      </c>
      <c r="AA33" s="10"/>
      <c r="AB33" s="102" t="s">
        <v>24</v>
      </c>
      <c r="AC33" s="103">
        <v>46206</v>
      </c>
      <c r="AD33" s="123"/>
      <c r="AE33" s="123" t="s">
        <v>27</v>
      </c>
      <c r="AF33" s="44"/>
      <c r="AG33" s="124">
        <v>500</v>
      </c>
      <c r="AH33" s="104">
        <f>AH32+AG33/Portfolio_by_bond[[#Totals],[Total Amount]]</f>
        <v>0.72726423169680487</v>
      </c>
      <c r="AI33" s="105">
        <f>Portfolio_by_bond[[#This Row],[Total Amount]]-_xlfn.XLOOKUP(Portfolio_by_bond[[#This Row],[Bond_Code]],'Ref'!F:F,'Ref'!G:G,0,0)</f>
        <v>500</v>
      </c>
      <c r="AJ33" s="106">
        <f t="shared" si="3"/>
        <v>0.73486690831903034</v>
      </c>
      <c r="AK33" s="62" t="str">
        <f t="shared" si="0"/>
        <v>1-3M</v>
      </c>
      <c r="AL33" s="54"/>
    </row>
    <row r="34" spans="5:38" x14ac:dyDescent="0.35">
      <c r="E34" s="10"/>
      <c r="F34" s="109"/>
      <c r="U34" s="54"/>
      <c r="W34" s="120" t="s">
        <v>254</v>
      </c>
      <c r="X34" s="10" t="s">
        <v>26</v>
      </c>
      <c r="Y34" s="10" t="s">
        <v>498</v>
      </c>
      <c r="Z34" s="10" t="s">
        <v>505</v>
      </c>
      <c r="AA34" s="10"/>
      <c r="AB34" s="102" t="s">
        <v>24</v>
      </c>
      <c r="AC34" s="103">
        <v>46206</v>
      </c>
      <c r="AD34" s="123"/>
      <c r="AE34" s="123" t="s">
        <v>27</v>
      </c>
      <c r="AF34" s="44"/>
      <c r="AG34" s="124">
        <v>2000</v>
      </c>
      <c r="AH34" s="104">
        <f>AH33+AG34/Portfolio_by_bond[[#Totals],[Total Amount]]</f>
        <v>0.78222965008956202</v>
      </c>
      <c r="AI34" s="105">
        <f>Portfolio_by_bond[[#This Row],[Total Amount]]-_xlfn.XLOOKUP(Portfolio_by_bond[[#This Row],[Bond_Code]],'Ref'!F:F,'Ref'!G:G,0,0)</f>
        <v>0</v>
      </c>
      <c r="AJ34" s="106">
        <f t="shared" si="3"/>
        <v>0.73486690831903034</v>
      </c>
      <c r="AK34" s="62" t="str">
        <f t="shared" ref="AK34:AK45" si="6">IF(AA34="",Z34,AA34)</f>
        <v>3-6M</v>
      </c>
      <c r="AL34" s="54"/>
    </row>
    <row r="35" spans="5:38" x14ac:dyDescent="0.35">
      <c r="E35" s="10"/>
      <c r="F35" s="109"/>
      <c r="U35" s="54"/>
      <c r="W35" s="120" t="s">
        <v>280</v>
      </c>
      <c r="X35" s="10" t="s">
        <v>61</v>
      </c>
      <c r="Y35" s="10" t="s">
        <v>550</v>
      </c>
      <c r="Z35" s="10" t="s">
        <v>504</v>
      </c>
      <c r="AA35" s="10"/>
      <c r="AB35" s="102" t="s">
        <v>18</v>
      </c>
      <c r="AC35" s="103">
        <v>46190</v>
      </c>
      <c r="AD35" s="123"/>
      <c r="AE35" s="123"/>
      <c r="AF35" s="44" t="s">
        <v>62</v>
      </c>
      <c r="AG35" s="124">
        <v>1000</v>
      </c>
      <c r="AH35" s="104">
        <f>AH34+AG35/Portfolio_by_bond[[#Totals],[Total Amount]]</f>
        <v>0.80971235928594054</v>
      </c>
      <c r="AI35" s="105">
        <f>Portfolio_by_bond[[#This Row],[Total Amount]]-_xlfn.XLOOKUP(Portfolio_by_bond[[#This Row],[Bond_Code]],'Ref'!F:F,'Ref'!G:G,0,0)</f>
        <v>1000</v>
      </c>
      <c r="AJ35" s="106">
        <f t="shared" si="3"/>
        <v>0.76832681532658031</v>
      </c>
      <c r="AK35" s="62" t="str">
        <f t="shared" si="6"/>
        <v>1-3M</v>
      </c>
      <c r="AL35" s="54"/>
    </row>
    <row r="36" spans="5:38" x14ac:dyDescent="0.35">
      <c r="E36" s="10"/>
      <c r="F36" s="109"/>
      <c r="U36" s="54"/>
      <c r="W36" s="120" t="s">
        <v>280</v>
      </c>
      <c r="X36" s="10" t="s">
        <v>61</v>
      </c>
      <c r="Y36" s="10" t="s">
        <v>577</v>
      </c>
      <c r="Z36" s="10" t="s">
        <v>504</v>
      </c>
      <c r="AA36" s="10"/>
      <c r="AB36" s="102" t="s">
        <v>18</v>
      </c>
      <c r="AC36" s="103">
        <v>46190</v>
      </c>
      <c r="AD36" s="123"/>
      <c r="AE36" s="123"/>
      <c r="AF36" s="44" t="s">
        <v>62</v>
      </c>
      <c r="AG36" s="124">
        <v>300</v>
      </c>
      <c r="AH36" s="104">
        <f>AH35+AG36/Portfolio_by_bond[[#Totals],[Total Amount]]</f>
        <v>0.81795717204485408</v>
      </c>
      <c r="AI36" s="105">
        <f>Portfolio_by_bond[[#This Row],[Total Amount]]-_xlfn.XLOOKUP(Portfolio_by_bond[[#This Row],[Bond_Code]],'Ref'!F:F,'Ref'!G:G,0,0)</f>
        <v>300</v>
      </c>
      <c r="AJ36" s="106">
        <f t="shared" si="3"/>
        <v>0.7783647874288453</v>
      </c>
      <c r="AK36" s="62" t="str">
        <f t="shared" si="6"/>
        <v>1-3M</v>
      </c>
      <c r="AL36" s="54"/>
    </row>
    <row r="37" spans="5:38" x14ac:dyDescent="0.35">
      <c r="E37" s="10"/>
      <c r="F37" s="109"/>
      <c r="U37" s="54"/>
      <c r="W37" s="120" t="s">
        <v>389</v>
      </c>
      <c r="X37" s="10" t="s">
        <v>194</v>
      </c>
      <c r="Y37" s="10" t="s">
        <v>556</v>
      </c>
      <c r="Z37" s="10" t="s">
        <v>506</v>
      </c>
      <c r="AA37" s="10"/>
      <c r="AB37" s="102" t="s">
        <v>18</v>
      </c>
      <c r="AC37" s="103">
        <v>45747</v>
      </c>
      <c r="AD37" s="123" t="s">
        <v>62</v>
      </c>
      <c r="AE37" s="123"/>
      <c r="AF37" s="44"/>
      <c r="AG37" s="124">
        <v>400</v>
      </c>
      <c r="AH37" s="104">
        <f>AH36+AG37/Portfolio_by_bond[[#Totals],[Total Amount]]</f>
        <v>0.82895025572340553</v>
      </c>
      <c r="AI37" s="105">
        <f>Portfolio_by_bond[[#This Row],[Total Amount]]-_xlfn.XLOOKUP(Portfolio_by_bond[[#This Row],[Bond_Code]],'Ref'!F:F,'Ref'!G:G,0,0)</f>
        <v>400</v>
      </c>
      <c r="AJ37" s="106">
        <f t="shared" si="3"/>
        <v>0.79174875023186531</v>
      </c>
      <c r="AK37" s="62" t="str">
        <f t="shared" si="6"/>
        <v>6M-1Y</v>
      </c>
      <c r="AL37" s="54"/>
    </row>
    <row r="38" spans="5:38" x14ac:dyDescent="0.35">
      <c r="E38" s="10"/>
      <c r="F38" s="109"/>
      <c r="U38" s="54"/>
      <c r="W38" s="120" t="s">
        <v>389</v>
      </c>
      <c r="X38" s="10" t="s">
        <v>194</v>
      </c>
      <c r="Y38" s="10" t="s">
        <v>557</v>
      </c>
      <c r="Z38" s="10" t="s">
        <v>505</v>
      </c>
      <c r="AA38" s="10"/>
      <c r="AB38" s="102" t="s">
        <v>18</v>
      </c>
      <c r="AC38" s="103">
        <v>45747</v>
      </c>
      <c r="AD38" s="123" t="s">
        <v>62</v>
      </c>
      <c r="AE38" s="123"/>
      <c r="AF38" s="44"/>
      <c r="AG38" s="124">
        <v>400</v>
      </c>
      <c r="AH38" s="104">
        <f>AH37+AG38/Portfolio_by_bond[[#Totals],[Total Amount]]</f>
        <v>0.83994333940195698</v>
      </c>
      <c r="AI38" s="105">
        <f>Portfolio_by_bond[[#This Row],[Total Amount]]-_xlfn.XLOOKUP(Portfolio_by_bond[[#This Row],[Bond_Code]],'Ref'!F:F,'Ref'!G:G,0,0)</f>
        <v>400</v>
      </c>
      <c r="AJ38" s="106">
        <f t="shared" si="3"/>
        <v>0.80513271303488532</v>
      </c>
      <c r="AK38" s="62" t="str">
        <f t="shared" si="6"/>
        <v>3-6M</v>
      </c>
      <c r="AL38" s="54"/>
    </row>
    <row r="39" spans="5:38" x14ac:dyDescent="0.35">
      <c r="E39" s="10"/>
      <c r="F39" s="109"/>
      <c r="U39" s="54"/>
      <c r="W39" s="120" t="s">
        <v>263</v>
      </c>
      <c r="X39" s="10" t="s">
        <v>41</v>
      </c>
      <c r="Y39" s="10" t="s">
        <v>561</v>
      </c>
      <c r="Z39" s="10" t="s">
        <v>504</v>
      </c>
      <c r="AA39" s="10"/>
      <c r="AB39" s="102" t="s">
        <v>18</v>
      </c>
      <c r="AC39" s="103">
        <v>46209</v>
      </c>
      <c r="AD39" s="123" t="s">
        <v>62</v>
      </c>
      <c r="AE39" s="123"/>
      <c r="AF39" s="44"/>
      <c r="AG39" s="124">
        <v>250</v>
      </c>
      <c r="AH39" s="104">
        <f>AH38+AG39/Portfolio_by_bond[[#Totals],[Total Amount]]</f>
        <v>0.84681401670105161</v>
      </c>
      <c r="AI39" s="105">
        <f>Portfolio_by_bond[[#This Row],[Total Amount]]-_xlfn.XLOOKUP(Portfolio_by_bond[[#This Row],[Bond_Code]],'Ref'!F:F,'Ref'!G:G,0,0)</f>
        <v>250</v>
      </c>
      <c r="AJ39" s="106">
        <f t="shared" si="3"/>
        <v>0.81349768978677284</v>
      </c>
      <c r="AK39" s="62" t="str">
        <f t="shared" si="6"/>
        <v>1-3M</v>
      </c>
      <c r="AL39" s="54"/>
    </row>
    <row r="40" spans="5:38" x14ac:dyDescent="0.35">
      <c r="E40" s="10"/>
      <c r="F40" s="109"/>
      <c r="U40" s="54"/>
      <c r="W40" s="120" t="s">
        <v>272</v>
      </c>
      <c r="X40" s="10" t="s">
        <v>53</v>
      </c>
      <c r="Y40" s="10" t="s">
        <v>558</v>
      </c>
      <c r="Z40" s="10" t="s">
        <v>505</v>
      </c>
      <c r="AA40" s="10"/>
      <c r="AB40" s="102" t="s">
        <v>18</v>
      </c>
      <c r="AC40" s="103">
        <v>46128</v>
      </c>
      <c r="AD40" s="123"/>
      <c r="AE40" s="123"/>
      <c r="AF40" s="44"/>
      <c r="AG40" s="124">
        <v>400</v>
      </c>
      <c r="AH40" s="104">
        <f>AH39+AG40/Portfolio_by_bond[[#Totals],[Total Amount]]</f>
        <v>0.85780710037960306</v>
      </c>
      <c r="AI40" s="105">
        <f>Portfolio_by_bond[[#This Row],[Total Amount]]-_xlfn.XLOOKUP(Portfolio_by_bond[[#This Row],[Bond_Code]],'Ref'!F:F,'Ref'!G:G,0,0)</f>
        <v>400</v>
      </c>
      <c r="AJ40" s="106">
        <f t="shared" si="3"/>
        <v>0.82688165258979285</v>
      </c>
      <c r="AK40" s="62" t="str">
        <f t="shared" si="6"/>
        <v>3-6M</v>
      </c>
      <c r="AL40" s="54"/>
    </row>
    <row r="41" spans="5:38" x14ac:dyDescent="0.35">
      <c r="E41" s="10"/>
      <c r="F41" s="109"/>
      <c r="U41" s="54"/>
      <c r="W41" s="120" t="s">
        <v>272</v>
      </c>
      <c r="X41" s="10" t="s">
        <v>53</v>
      </c>
      <c r="Y41" s="10" t="s">
        <v>578</v>
      </c>
      <c r="Z41" s="10" t="s">
        <v>506</v>
      </c>
      <c r="AA41" s="10"/>
      <c r="AB41" s="102" t="s">
        <v>18</v>
      </c>
      <c r="AC41" s="103">
        <v>46128</v>
      </c>
      <c r="AD41" s="123"/>
      <c r="AE41" s="123"/>
      <c r="AF41" s="44"/>
      <c r="AG41" s="124">
        <v>800</v>
      </c>
      <c r="AH41" s="104">
        <f>AH40+AG41/Portfolio_by_bond[[#Totals],[Total Amount]]</f>
        <v>0.87979326773670596</v>
      </c>
      <c r="AI41" s="105">
        <f>Portfolio_by_bond[[#This Row],[Total Amount]]-_xlfn.XLOOKUP(Portfolio_by_bond[[#This Row],[Bond_Code]],'Ref'!F:F,'Ref'!G:G,0,0)</f>
        <v>800</v>
      </c>
      <c r="AJ41" s="106">
        <f t="shared" si="3"/>
        <v>0.85364957819583276</v>
      </c>
      <c r="AK41" s="62" t="str">
        <f t="shared" si="6"/>
        <v>6M-1Y</v>
      </c>
      <c r="AL41" s="54"/>
    </row>
    <row r="42" spans="5:38" x14ac:dyDescent="0.35">
      <c r="E42" s="10"/>
      <c r="F42" s="109"/>
      <c r="U42" s="54"/>
      <c r="W42" s="120" t="s">
        <v>272</v>
      </c>
      <c r="X42" s="10" t="s">
        <v>53</v>
      </c>
      <c r="Y42" s="10" t="s">
        <v>560</v>
      </c>
      <c r="Z42" s="10" t="s">
        <v>504</v>
      </c>
      <c r="AA42" s="10"/>
      <c r="AB42" s="102" t="s">
        <v>18</v>
      </c>
      <c r="AC42" s="103">
        <v>46128</v>
      </c>
      <c r="AD42" s="123"/>
      <c r="AE42" s="123"/>
      <c r="AF42" s="44"/>
      <c r="AG42" s="124">
        <v>500</v>
      </c>
      <c r="AH42" s="104">
        <f>AH41+AG42/Portfolio_by_bond[[#Totals],[Total Amount]]</f>
        <v>0.89353462233489522</v>
      </c>
      <c r="AI42" s="105">
        <f>Portfolio_by_bond[[#This Row],[Total Amount]]-_xlfn.XLOOKUP(Portfolio_by_bond[[#This Row],[Bond_Code]],'Ref'!F:F,'Ref'!G:G,0,0)</f>
        <v>500</v>
      </c>
      <c r="AJ42" s="106">
        <f t="shared" si="3"/>
        <v>0.87037953169960769</v>
      </c>
      <c r="AK42" s="62" t="str">
        <f t="shared" si="6"/>
        <v>1-3M</v>
      </c>
      <c r="AL42" s="54"/>
    </row>
    <row r="43" spans="5:38" x14ac:dyDescent="0.35">
      <c r="E43" s="10"/>
      <c r="F43" s="109"/>
      <c r="U43" s="54"/>
      <c r="W43" s="120" t="s">
        <v>272</v>
      </c>
      <c r="X43" s="10" t="s">
        <v>53</v>
      </c>
      <c r="Y43" s="10" t="s">
        <v>559</v>
      </c>
      <c r="Z43" s="10" t="s">
        <v>504</v>
      </c>
      <c r="AA43" s="10"/>
      <c r="AB43" s="102" t="s">
        <v>18</v>
      </c>
      <c r="AC43" s="103">
        <v>46128</v>
      </c>
      <c r="AD43" s="123"/>
      <c r="AE43" s="123"/>
      <c r="AF43" s="44"/>
      <c r="AG43" s="124">
        <v>300</v>
      </c>
      <c r="AH43" s="104">
        <f>AH42+AG43/Portfolio_by_bond[[#Totals],[Total Amount]]</f>
        <v>0.90177943509380876</v>
      </c>
      <c r="AI43" s="105">
        <f>Portfolio_by_bond[[#This Row],[Total Amount]]-_xlfn.XLOOKUP(Portfolio_by_bond[[#This Row],[Bond_Code]],'Ref'!F:F,'Ref'!G:G,0,0)</f>
        <v>300</v>
      </c>
      <c r="AJ43" s="106">
        <f t="shared" si="3"/>
        <v>0.88041750380187267</v>
      </c>
      <c r="AK43" s="62" t="str">
        <f t="shared" si="6"/>
        <v>1-3M</v>
      </c>
      <c r="AL43" s="54"/>
    </row>
    <row r="44" spans="5:38" x14ac:dyDescent="0.35">
      <c r="E44" s="10"/>
      <c r="F44" s="109"/>
      <c r="U44" s="54"/>
      <c r="W44" s="120" t="s">
        <v>587</v>
      </c>
      <c r="X44" s="10" t="s">
        <v>581</v>
      </c>
      <c r="Y44" s="10" t="s">
        <v>590</v>
      </c>
      <c r="Z44" s="10" t="s">
        <v>509</v>
      </c>
      <c r="AA44" s="10" t="s">
        <v>509</v>
      </c>
      <c r="AB44" s="102" t="s">
        <v>40</v>
      </c>
      <c r="AC44" s="103"/>
      <c r="AD44" s="123"/>
      <c r="AE44" s="123"/>
      <c r="AF44" s="44"/>
      <c r="AG44" s="124">
        <v>382.59559615000001</v>
      </c>
      <c r="AH44" s="104">
        <f>AH43+AG44/Portfolio_by_bond[[#Totals],[Total Amount]]</f>
        <v>0.91229419860261429</v>
      </c>
      <c r="AI44" s="105">
        <f>Portfolio_by_bond[[#This Row],[Total Amount]]-_xlfn.XLOOKUP(Portfolio_by_bond[[#This Row],[Bond_Code]],'Ref'!F:F,'Ref'!G:G,0,0)</f>
        <v>382.59559615000001</v>
      </c>
      <c r="AJ44" s="106">
        <f t="shared" si="3"/>
        <v>0.89321911687054978</v>
      </c>
      <c r="AK44" s="62" t="str">
        <f t="shared" si="6"/>
        <v>3-5Y</v>
      </c>
      <c r="AL44" s="54"/>
    </row>
    <row r="45" spans="5:38" x14ac:dyDescent="0.35">
      <c r="E45" s="10"/>
      <c r="F45" s="109"/>
      <c r="U45" s="54"/>
      <c r="W45" s="120" t="s">
        <v>587</v>
      </c>
      <c r="X45" s="10" t="s">
        <v>581</v>
      </c>
      <c r="Y45" s="10" t="s">
        <v>589</v>
      </c>
      <c r="Z45" s="10" t="s">
        <v>509</v>
      </c>
      <c r="AA45" s="10" t="s">
        <v>509</v>
      </c>
      <c r="AB45" s="102" t="s">
        <v>40</v>
      </c>
      <c r="AC45" s="103"/>
      <c r="AD45" s="123"/>
      <c r="AE45" s="123"/>
      <c r="AF45" s="44"/>
      <c r="AG45" s="124">
        <v>191.30842489657999</v>
      </c>
      <c r="AH45" s="107">
        <f>AH44+AG45/Portfolio_by_bond[[#Totals],[Total Amount]]</f>
        <v>0.91755187241086422</v>
      </c>
      <c r="AI45" s="105">
        <f>Portfolio_by_bond[[#This Row],[Total Amount]]-_xlfn.XLOOKUP(Portfolio_by_bond[[#This Row],[Bond_Code]],'Ref'!F:F,'Ref'!G:G,0,0)</f>
        <v>191.30842489657999</v>
      </c>
      <c r="AJ45" s="78">
        <f t="shared" si="3"/>
        <v>0.8996202789773502</v>
      </c>
      <c r="AK45" s="62" t="str">
        <f t="shared" si="6"/>
        <v>3-5Y</v>
      </c>
      <c r="AL45" s="54"/>
    </row>
    <row r="46" spans="5:38" x14ac:dyDescent="0.35">
      <c r="E46" s="10"/>
      <c r="F46" s="109"/>
      <c r="U46" s="54"/>
      <c r="W46" s="120" t="s">
        <v>259</v>
      </c>
      <c r="X46" s="10" t="s">
        <v>35</v>
      </c>
      <c r="Y46" s="10" t="s">
        <v>580</v>
      </c>
      <c r="Z46" s="10" t="s">
        <v>510</v>
      </c>
      <c r="AA46" s="10" t="s">
        <v>508</v>
      </c>
      <c r="AB46" s="102" t="s">
        <v>40</v>
      </c>
      <c r="AC46" s="103">
        <v>46218</v>
      </c>
      <c r="AD46" s="123"/>
      <c r="AE46" s="123"/>
      <c r="AF46" s="44"/>
      <c r="AG46" s="124">
        <v>1000</v>
      </c>
      <c r="AH46" s="107">
        <f>AH45+AG46/Portfolio_by_bond[[#Totals],[Total Amount]]</f>
        <v>0.94503458160724274</v>
      </c>
      <c r="AI46" s="105">
        <f>Portfolio_by_bond[[#This Row],[Total Amount]]-_xlfn.XLOOKUP(Portfolio_by_bond[[#This Row],[Bond_Code]],'Ref'!F:F,'Ref'!G:G,0,0)</f>
        <v>1000</v>
      </c>
      <c r="AJ46" s="78">
        <f t="shared" si="3"/>
        <v>0.93308018598490017</v>
      </c>
      <c r="AK46" s="62" t="str">
        <f>IF(AA46="",Z46,AA46)</f>
        <v>1-2Y</v>
      </c>
      <c r="AL46" s="54"/>
    </row>
    <row r="47" spans="5:38" x14ac:dyDescent="0.35">
      <c r="E47" s="10"/>
      <c r="F47" s="109"/>
      <c r="U47" s="54"/>
      <c r="W47" s="120" t="s">
        <v>281</v>
      </c>
      <c r="X47" s="10" t="s">
        <v>63</v>
      </c>
      <c r="Y47" s="10" t="s">
        <v>543</v>
      </c>
      <c r="Z47" s="10" t="s">
        <v>504</v>
      </c>
      <c r="AA47" s="10"/>
      <c r="AB47" s="121" t="s">
        <v>33</v>
      </c>
      <c r="AC47" s="122"/>
      <c r="AD47" s="123"/>
      <c r="AE47" s="123"/>
      <c r="AF47" s="44"/>
      <c r="AG47" s="125">
        <v>1000</v>
      </c>
      <c r="AH47" s="107">
        <f>AH46+AG47/Portfolio_by_bond[[#Totals],[Total Amount]]</f>
        <v>0.97251729080362126</v>
      </c>
      <c r="AI47" s="105">
        <f>Portfolio_by_bond[[#This Row],[Total Amount]]-_xlfn.XLOOKUP(Portfolio_by_bond[[#This Row],[Bond_Code]],'Ref'!F:F,'Ref'!G:G,0,0)</f>
        <v>1000</v>
      </c>
      <c r="AJ47" s="78">
        <f t="shared" si="3"/>
        <v>0.96654009299245014</v>
      </c>
      <c r="AK47" s="62" t="str">
        <f>IF(AA47="",Z47,AA47)</f>
        <v>1-3M</v>
      </c>
      <c r="AL47" s="54"/>
    </row>
    <row r="48" spans="5:38" x14ac:dyDescent="0.35">
      <c r="E48" s="10"/>
      <c r="F48" s="109"/>
      <c r="U48" s="54"/>
      <c r="W48" s="120" t="s">
        <v>281</v>
      </c>
      <c r="X48" s="10" t="s">
        <v>63</v>
      </c>
      <c r="Y48" s="10" t="s">
        <v>542</v>
      </c>
      <c r="Z48" s="10" t="s">
        <v>505</v>
      </c>
      <c r="AA48" s="10"/>
      <c r="AB48" s="121" t="s">
        <v>33</v>
      </c>
      <c r="AC48" s="122"/>
      <c r="AD48" s="123"/>
      <c r="AE48" s="123"/>
      <c r="AF48" s="44"/>
      <c r="AG48" s="125">
        <v>1000</v>
      </c>
      <c r="AH48" s="107">
        <f>AH47+AG48/Portfolio_by_bond[[#Totals],[Total Amount]]</f>
        <v>0.99999999999999978</v>
      </c>
      <c r="AI48" s="105">
        <f>Portfolio_by_bond[[#This Row],[Total Amount]]-_xlfn.XLOOKUP(Portfolio_by_bond[[#This Row],[Bond_Code]],'Ref'!F:F,'Ref'!G:G,0,0)</f>
        <v>1000</v>
      </c>
      <c r="AJ48" s="78">
        <f t="shared" si="3"/>
        <v>1</v>
      </c>
      <c r="AK48" s="62" t="str">
        <f>IF(AA48="",Z48,AA48)</f>
        <v>3-6M</v>
      </c>
      <c r="AL48" s="54"/>
    </row>
    <row r="49" spans="5:38" x14ac:dyDescent="0.35">
      <c r="E49" s="10"/>
      <c r="F49" s="109"/>
      <c r="U49" s="54"/>
      <c r="W49" s="92" t="s">
        <v>440</v>
      </c>
      <c r="X49" s="99"/>
      <c r="Y49" s="99"/>
      <c r="Z49" s="85"/>
      <c r="AA49" s="85"/>
      <c r="AB49" s="93"/>
      <c r="AC49" s="93"/>
      <c r="AD49" s="85"/>
      <c r="AE49" s="94"/>
      <c r="AF49" s="85"/>
      <c r="AG49" s="93">
        <f>SUBTOTAL(109,Portfolio_by_bond[Total Amount])</f>
        <v>36386.514621046583</v>
      </c>
      <c r="AH49" s="85"/>
      <c r="AI49" s="95">
        <f>SUM(AI2:AI48)</f>
        <v>29886.514621046579</v>
      </c>
      <c r="AJ49" s="95"/>
      <c r="AK49" s="96"/>
      <c r="AL49" s="54"/>
    </row>
    <row r="50" spans="5:38" x14ac:dyDescent="0.35">
      <c r="E50" s="10"/>
      <c r="F50" s="109"/>
      <c r="U50" s="54"/>
      <c r="Y50" s="54"/>
      <c r="AG50" s="86"/>
      <c r="AI50" s="54"/>
      <c r="AJ50" s="54"/>
      <c r="AK50" s="62"/>
      <c r="AL50" s="54"/>
    </row>
    <row r="51" spans="5:38" x14ac:dyDescent="0.35">
      <c r="E51" s="10"/>
      <c r="F51" s="109"/>
      <c r="U51" s="54"/>
      <c r="Y51" s="86"/>
      <c r="AG51" s="86"/>
      <c r="AK51" s="96"/>
      <c r="AL51" s="54"/>
    </row>
    <row r="52" spans="5:38" x14ac:dyDescent="0.35">
      <c r="E52" s="10"/>
      <c r="F52" s="109"/>
      <c r="U52" s="54"/>
      <c r="AK52" s="54"/>
      <c r="AL52" s="54"/>
    </row>
    <row r="53" spans="5:38" x14ac:dyDescent="0.35">
      <c r="E53" s="10"/>
      <c r="F53" s="109"/>
      <c r="U53" s="54"/>
      <c r="AL53" s="54"/>
    </row>
    <row r="54" spans="5:38" x14ac:dyDescent="0.35">
      <c r="E54" s="10"/>
      <c r="F54" s="109"/>
      <c r="U54" s="54"/>
      <c r="AL54" s="54"/>
    </row>
    <row r="55" spans="5:38" x14ac:dyDescent="0.35">
      <c r="E55" s="10"/>
      <c r="F55" s="109"/>
      <c r="U55" s="54"/>
      <c r="AL55" s="54"/>
    </row>
    <row r="56" spans="5:38" x14ac:dyDescent="0.35">
      <c r="E56" s="10"/>
      <c r="F56" s="109"/>
      <c r="U56" s="54"/>
      <c r="AL56" s="54"/>
    </row>
    <row r="57" spans="5:38" x14ac:dyDescent="0.35">
      <c r="E57" s="10"/>
      <c r="F57" s="109"/>
      <c r="U57" s="54"/>
      <c r="AL57" s="54"/>
    </row>
    <row r="58" spans="5:38" x14ac:dyDescent="0.35">
      <c r="E58" s="10"/>
      <c r="F58" s="109"/>
      <c r="U58" s="54"/>
      <c r="AL58" s="62"/>
    </row>
    <row r="59" spans="5:38" x14ac:dyDescent="0.35">
      <c r="E59" s="10"/>
      <c r="F59" s="109"/>
      <c r="U59" s="54"/>
      <c r="AL59" s="54"/>
    </row>
    <row r="60" spans="5:38" x14ac:dyDescent="0.35">
      <c r="E60" s="10"/>
      <c r="F60" s="109"/>
      <c r="U60" s="54"/>
    </row>
    <row r="61" spans="5:38" x14ac:dyDescent="0.35">
      <c r="E61" s="10"/>
      <c r="F61" s="109"/>
      <c r="U61" s="54"/>
    </row>
    <row r="62" spans="5:38" x14ac:dyDescent="0.3">
      <c r="U62" s="54"/>
    </row>
    <row r="63" spans="5:38" x14ac:dyDescent="0.3">
      <c r="U63" s="54"/>
    </row>
    <row r="64" spans="5:38" x14ac:dyDescent="0.3">
      <c r="U64" s="54"/>
    </row>
    <row r="65" spans="14:21" x14ac:dyDescent="0.3">
      <c r="U65" s="54"/>
    </row>
    <row r="66" spans="14:21" x14ac:dyDescent="0.3">
      <c r="U66" s="54"/>
    </row>
    <row r="67" spans="14:21" x14ac:dyDescent="0.3">
      <c r="N67" s="44"/>
      <c r="U67" s="54"/>
    </row>
  </sheetData>
  <mergeCells count="8">
    <mergeCell ref="G1:H1"/>
    <mergeCell ref="A13:A14"/>
    <mergeCell ref="B13:B14"/>
    <mergeCell ref="C13:C14"/>
    <mergeCell ref="A1:A2"/>
    <mergeCell ref="B1:B2"/>
    <mergeCell ref="C1:C2"/>
    <mergeCell ref="D1:F1"/>
  </mergeCells>
  <phoneticPr fontId="6" type="noConversion"/>
  <conditionalFormatting sqref="K2:T2 K20:Q20 K3:R18 T3:T18 S3:S20">
    <cfRule type="expression" dxfId="128" priority="57">
      <formula>$M2&lt;&gt;$M3</formula>
    </cfRule>
    <cfRule type="expression" dxfId="127" priority="58">
      <formula>$M2&lt;&gt;#REF!</formula>
    </cfRule>
  </conditionalFormatting>
  <conditionalFormatting sqref="AK51 AK53:AK93">
    <cfRule type="expression" dxfId="126" priority="61">
      <formula>$AD50&lt;&gt;$AD51</formula>
    </cfRule>
    <cfRule type="expression" dxfId="125" priority="62">
      <formula>$AD50&lt;&gt;#REF!</formula>
    </cfRule>
  </conditionalFormatting>
  <conditionalFormatting sqref="W48:AG48 W46:AG46">
    <cfRule type="expression" dxfId="124" priority="67">
      <formula>$AD46&lt;&gt;$AD48</formula>
    </cfRule>
    <cfRule type="expression" dxfId="123" priority="68">
      <formula>$AD46&lt;&gt;#REF!</formula>
    </cfRule>
  </conditionalFormatting>
  <conditionalFormatting sqref="W49:AG49">
    <cfRule type="expression" dxfId="122" priority="53">
      <formula>$AD49&lt;&gt;$AD50</formula>
    </cfRule>
    <cfRule type="expression" dxfId="121" priority="54">
      <formula>$AD49&lt;&gt;#REF!</formula>
    </cfRule>
  </conditionalFormatting>
  <conditionalFormatting sqref="W48:AG49 W2:AJ44 W46:AG46">
    <cfRule type="expression" dxfId="120" priority="59">
      <formula>$AB2&lt;&gt;$AB3</formula>
    </cfRule>
    <cfRule type="expression" dxfId="119" priority="60">
      <formula>$AB2&lt;&gt;#REF!</formula>
    </cfRule>
  </conditionalFormatting>
  <conditionalFormatting sqref="T20:T23 R20:R23">
    <cfRule type="expression" dxfId="118" priority="73">
      <formula>$M23&lt;&gt;$M24</formula>
    </cfRule>
    <cfRule type="expression" dxfId="117" priority="74">
      <formula>$M23&lt;&gt;#REF!</formula>
    </cfRule>
  </conditionalFormatting>
  <conditionalFormatting sqref="K19:R19 T19 K21:Q23">
    <cfRule type="expression" dxfId="116" priority="75">
      <formula>$M19&lt;&gt;$M23</formula>
    </cfRule>
    <cfRule type="expression" dxfId="115" priority="76">
      <formula>$M19&lt;&gt;#REF!</formula>
    </cfRule>
  </conditionalFormatting>
  <conditionalFormatting sqref="W45:AJ45 AH46:AJ48">
    <cfRule type="expression" dxfId="114" priority="91">
      <formula>$AB45&lt;&gt;#REF!</formula>
    </cfRule>
    <cfRule type="expression" dxfId="113" priority="92">
      <formula>$AB45&lt;&gt;#REF!</formula>
    </cfRule>
  </conditionalFormatting>
  <conditionalFormatting sqref="AH49:AJ49 AH51:AJ91">
    <cfRule type="expression" dxfId="112" priority="97">
      <formula>$AD50&lt;&gt;$AD51</formula>
    </cfRule>
    <cfRule type="expression" dxfId="111" priority="98">
      <formula>$AD50&lt;&gt;#REF!</formula>
    </cfRule>
  </conditionalFormatting>
  <conditionalFormatting sqref="AK49">
    <cfRule type="expression" dxfId="110" priority="47">
      <formula>$AD48&lt;&gt;$AD49</formula>
    </cfRule>
    <cfRule type="expression" dxfId="109" priority="48">
      <formula>$AD48&lt;&gt;#REF!</formula>
    </cfRule>
  </conditionalFormatting>
  <conditionalFormatting sqref="AH49:AJ49">
    <cfRule type="expression" dxfId="108" priority="109">
      <formula>$AB49&lt;&gt;$AB50</formula>
    </cfRule>
    <cfRule type="expression" dxfId="107" priority="110">
      <formula>$AB49&lt;&gt;#REF!</formula>
    </cfRule>
  </conditionalFormatting>
  <conditionalFormatting sqref="S21:S23">
    <cfRule type="expression" dxfId="106" priority="115">
      <formula>$M21&lt;&gt;$M23</formula>
    </cfRule>
    <cfRule type="expression" dxfId="105" priority="116">
      <formula>$M21&lt;&gt;#REF!</formula>
    </cfRule>
  </conditionalFormatting>
  <conditionalFormatting sqref="W47:AG47">
    <cfRule type="expression" dxfId="104" priority="119">
      <formula>$AB49&lt;&gt;#REF!</formula>
    </cfRule>
    <cfRule type="expression" dxfId="103" priority="120">
      <formula>$AB49&lt;&gt;#REF!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8F1A-D295-452F-9F78-53AB11FACA7D}">
  <sheetPr codeName="Sheet2"/>
  <dimension ref="A1:X204"/>
  <sheetViews>
    <sheetView workbookViewId="0">
      <pane ySplit="1" topLeftCell="A184" activePane="bottomLeft" state="frozen"/>
      <selection pane="bottomLeft"/>
    </sheetView>
  </sheetViews>
  <sheetFormatPr defaultRowHeight="14.4" x14ac:dyDescent="0.3"/>
  <cols>
    <col min="1" max="1" width="60.8984375" bestFit="1" customWidth="1"/>
    <col min="2" max="2" width="18.09765625" bestFit="1" customWidth="1"/>
    <col min="3" max="3" width="10.19921875" bestFit="1" customWidth="1"/>
    <col min="4" max="4" width="9.3984375" bestFit="1" customWidth="1"/>
    <col min="5" max="5" width="14.59765625" bestFit="1" customWidth="1"/>
    <col min="6" max="6" width="13" bestFit="1" customWidth="1"/>
    <col min="7" max="7" width="18.19921875" bestFit="1" customWidth="1"/>
    <col min="8" max="8" width="14.5" bestFit="1" customWidth="1"/>
    <col min="9" max="9" width="19.69921875" bestFit="1" customWidth="1"/>
    <col min="10" max="10" width="10.09765625" bestFit="1" customWidth="1"/>
    <col min="11" max="11" width="15.296875" bestFit="1" customWidth="1"/>
    <col min="12" max="12" width="13" style="30" bestFit="1" customWidth="1"/>
    <col min="13" max="13" width="12.3984375" style="30" bestFit="1" customWidth="1"/>
    <col min="14" max="14" width="10.19921875" style="30" bestFit="1" customWidth="1"/>
    <col min="15" max="15" width="10.09765625" bestFit="1" customWidth="1"/>
    <col min="16" max="16" width="5" bestFit="1" customWidth="1"/>
    <col min="17" max="17" width="1.8984375" bestFit="1" customWidth="1"/>
    <col min="18" max="18" width="4.8984375" bestFit="1" customWidth="1"/>
    <col min="19" max="19" width="60.8984375" style="27" bestFit="1" customWidth="1"/>
    <col min="20" max="20" width="18.09765625" style="29" bestFit="1" customWidth="1"/>
    <col min="21" max="21" width="5.796875" style="30" bestFit="1" customWidth="1"/>
    <col min="22" max="22" width="10.09765625" style="30" bestFit="1" customWidth="1"/>
    <col min="23" max="23" width="3.796875" style="30" bestFit="1" customWidth="1"/>
    <col min="24" max="24" width="3.796875" style="29" bestFit="1" customWidth="1"/>
    <col min="25" max="25" width="3.796875" bestFit="1" customWidth="1"/>
    <col min="26" max="26" width="16.69921875" bestFit="1" customWidth="1"/>
    <col min="27" max="27" width="10.59765625" bestFit="1" customWidth="1"/>
    <col min="28" max="28" width="9" bestFit="1" customWidth="1"/>
    <col min="29" max="29" width="7.296875" bestFit="1" customWidth="1"/>
    <col min="30" max="30" width="50.59765625" customWidth="1"/>
    <col min="31" max="31" width="12.59765625" customWidth="1"/>
    <col min="32" max="32" width="10.59765625" bestFit="1" customWidth="1"/>
    <col min="33" max="33" width="14.8984375" bestFit="1" customWidth="1"/>
  </cols>
  <sheetData>
    <row r="1" spans="1:24" x14ac:dyDescent="0.3">
      <c r="A1" t="s">
        <v>5</v>
      </c>
      <c r="B1" t="s">
        <v>249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s="113" t="s">
        <v>584</v>
      </c>
      <c r="M1" s="113" t="s">
        <v>585</v>
      </c>
      <c r="N1" s="113" t="s">
        <v>586</v>
      </c>
      <c r="O1" s="30"/>
      <c r="P1" s="28" t="s">
        <v>465</v>
      </c>
      <c r="Q1" t="s">
        <v>15</v>
      </c>
      <c r="R1" t="s">
        <v>439</v>
      </c>
      <c r="S1" t="s">
        <v>461</v>
      </c>
      <c r="T1" t="s">
        <v>458</v>
      </c>
      <c r="U1" t="s">
        <v>459</v>
      </c>
      <c r="V1" t="s">
        <v>460</v>
      </c>
      <c r="W1"/>
      <c r="X1"/>
    </row>
    <row r="2" spans="1:24" x14ac:dyDescent="0.3">
      <c r="A2" t="s">
        <v>16</v>
      </c>
      <c r="B2" t="s">
        <v>251</v>
      </c>
      <c r="C2" t="s">
        <v>17</v>
      </c>
      <c r="D2" t="s">
        <v>18</v>
      </c>
      <c r="E2" s="27">
        <v>45820</v>
      </c>
      <c r="G2" s="27"/>
      <c r="I2" s="27"/>
      <c r="L2" s="30" t="str">
        <f>IF(OR(CtpyRating[[#This Row],[FI_RATING]]="",_xlfn.XLOOKUP(CtpyRating[[#This Row],[CPTY_NAME]],S:S,U:U,"",0)=CtpyRating[[#This Row],[FI_RATING]],CtpyRating[[#This Row],[New Rating]]="Yes"),"No","Yes")</f>
        <v>No</v>
      </c>
      <c r="M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" s="30" t="str">
        <f>IF(AND(CtpyRating[[#This Row],[FI_RATING]]&lt;&gt;"",_xlfn.XLOOKUP(CtpyRating[[#This Row],[CPTY_NAME]],S:S,U:U,"",0)=""),"Yes","No")</f>
        <v>No</v>
      </c>
      <c r="O2" s="30"/>
      <c r="Q2">
        <v>7</v>
      </c>
      <c r="R2">
        <v>2026</v>
      </c>
      <c r="S2" t="s">
        <v>16</v>
      </c>
      <c r="T2" t="s">
        <v>251</v>
      </c>
      <c r="U2" t="s">
        <v>18</v>
      </c>
      <c r="V2" s="34">
        <v>45820</v>
      </c>
      <c r="W2"/>
      <c r="X2"/>
    </row>
    <row r="3" spans="1:24" x14ac:dyDescent="0.3">
      <c r="A3" t="s">
        <v>19</v>
      </c>
      <c r="B3" t="s">
        <v>252</v>
      </c>
      <c r="C3" t="s">
        <v>17</v>
      </c>
      <c r="D3" t="s">
        <v>20</v>
      </c>
      <c r="E3" s="27">
        <v>46203</v>
      </c>
      <c r="G3" s="27"/>
      <c r="H3" t="s">
        <v>22</v>
      </c>
      <c r="I3" s="27">
        <v>46147</v>
      </c>
      <c r="L3" s="30" t="str">
        <f>IF(OR(CtpyRating[[#This Row],[FI_RATING]]="",_xlfn.XLOOKUP(CtpyRating[[#This Row],[CPTY_NAME]],S:S,U:U,"",0)=CtpyRating[[#This Row],[FI_RATING]],CtpyRating[[#This Row],[New Rating]]="Yes"),"No","Yes")</f>
        <v>No</v>
      </c>
      <c r="M3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3" s="30" t="str">
        <f>IF(AND(CtpyRating[[#This Row],[FI_RATING]]&lt;&gt;"",_xlfn.XLOOKUP(CtpyRating[[#This Row],[CPTY_NAME]],S:S,U:U,"",0)=""),"Yes","No")</f>
        <v>No</v>
      </c>
      <c r="O3" s="30"/>
      <c r="Q3">
        <v>7</v>
      </c>
      <c r="R3">
        <v>2026</v>
      </c>
      <c r="S3" t="s">
        <v>19</v>
      </c>
      <c r="T3" t="s">
        <v>252</v>
      </c>
      <c r="U3" t="s">
        <v>20</v>
      </c>
      <c r="V3" s="34">
        <v>45847</v>
      </c>
      <c r="W3"/>
      <c r="X3"/>
    </row>
    <row r="4" spans="1:24" x14ac:dyDescent="0.3">
      <c r="A4" t="s">
        <v>23</v>
      </c>
      <c r="B4" t="s">
        <v>253</v>
      </c>
      <c r="C4" t="s">
        <v>17</v>
      </c>
      <c r="D4" t="s">
        <v>33</v>
      </c>
      <c r="E4" s="27">
        <v>46211</v>
      </c>
      <c r="F4" t="s">
        <v>65</v>
      </c>
      <c r="G4" s="27">
        <v>45967</v>
      </c>
      <c r="H4" t="s">
        <v>25</v>
      </c>
      <c r="I4" s="27">
        <v>46133</v>
      </c>
      <c r="L4" s="30" t="str">
        <f>IF(OR(CtpyRating[[#This Row],[FI_RATING]]="",_xlfn.XLOOKUP(CtpyRating[[#This Row],[CPTY_NAME]],S:S,U:U,"",0)=CtpyRating[[#This Row],[FI_RATING]],CtpyRating[[#This Row],[New Rating]]="Yes"),"No","Yes")</f>
        <v>Yes</v>
      </c>
      <c r="M4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4" s="30" t="str">
        <f>IF(AND(CtpyRating[[#This Row],[FI_RATING]]&lt;&gt;"",_xlfn.XLOOKUP(CtpyRating[[#This Row],[CPTY_NAME]],S:S,U:U,"",0)=""),"Yes","No")</f>
        <v>No</v>
      </c>
      <c r="O4" s="30"/>
      <c r="Q4">
        <v>7</v>
      </c>
      <c r="R4">
        <v>2026</v>
      </c>
      <c r="S4" t="s">
        <v>23</v>
      </c>
      <c r="T4" t="s">
        <v>253</v>
      </c>
      <c r="U4" t="s">
        <v>24</v>
      </c>
      <c r="V4" s="34">
        <v>45762</v>
      </c>
      <c r="W4"/>
      <c r="X4"/>
    </row>
    <row r="5" spans="1:24" x14ac:dyDescent="0.3">
      <c r="A5" t="s">
        <v>26</v>
      </c>
      <c r="B5" t="s">
        <v>254</v>
      </c>
      <c r="C5" t="s">
        <v>17</v>
      </c>
      <c r="D5" t="s">
        <v>24</v>
      </c>
      <c r="E5" s="27">
        <v>46206</v>
      </c>
      <c r="G5" s="27"/>
      <c r="H5" t="s">
        <v>27</v>
      </c>
      <c r="I5" s="27">
        <v>45540</v>
      </c>
      <c r="L5" s="30" t="str">
        <f>IF(OR(CtpyRating[[#This Row],[FI_RATING]]="",_xlfn.XLOOKUP(CtpyRating[[#This Row],[CPTY_NAME]],S:S,U:U,"",0)=CtpyRating[[#This Row],[FI_RATING]],CtpyRating[[#This Row],[New Rating]]="Yes"),"No","Yes")</f>
        <v>Yes</v>
      </c>
      <c r="M5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5" s="30" t="str">
        <f>IF(AND(CtpyRating[[#This Row],[FI_RATING]]&lt;&gt;"",_xlfn.XLOOKUP(CtpyRating[[#This Row],[CPTY_NAME]],S:S,U:U,"",0)=""),"Yes","No")</f>
        <v>No</v>
      </c>
      <c r="O5" s="30"/>
      <c r="Q5">
        <v>7</v>
      </c>
      <c r="R5">
        <v>2026</v>
      </c>
      <c r="S5" t="s">
        <v>26</v>
      </c>
      <c r="T5" t="s">
        <v>254</v>
      </c>
      <c r="U5" t="s">
        <v>18</v>
      </c>
      <c r="V5" s="34">
        <v>45770</v>
      </c>
      <c r="W5"/>
      <c r="X5"/>
    </row>
    <row r="6" spans="1:24" x14ac:dyDescent="0.3">
      <c r="A6" t="s">
        <v>28</v>
      </c>
      <c r="B6" t="s">
        <v>255</v>
      </c>
      <c r="C6" t="s">
        <v>17</v>
      </c>
      <c r="D6" t="s">
        <v>29</v>
      </c>
      <c r="E6" s="27">
        <v>44781</v>
      </c>
      <c r="G6" s="27"/>
      <c r="I6" s="27"/>
      <c r="L6" s="30" t="str">
        <f>IF(OR(CtpyRating[[#This Row],[FI_RATING]]="",_xlfn.XLOOKUP(CtpyRating[[#This Row],[CPTY_NAME]],S:S,U:U,"",0)=CtpyRating[[#This Row],[FI_RATING]],CtpyRating[[#This Row],[New Rating]]="Yes"),"No","Yes")</f>
        <v>No</v>
      </c>
      <c r="M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" s="30" t="str">
        <f>IF(AND(CtpyRating[[#This Row],[FI_RATING]]&lt;&gt;"",_xlfn.XLOOKUP(CtpyRating[[#This Row],[CPTY_NAME]],S:S,U:U,"",0)=""),"Yes","No")</f>
        <v>No</v>
      </c>
      <c r="O6" s="30"/>
      <c r="Q6">
        <v>7</v>
      </c>
      <c r="R6">
        <v>2026</v>
      </c>
      <c r="S6" t="s">
        <v>28</v>
      </c>
      <c r="T6" t="s">
        <v>255</v>
      </c>
      <c r="U6" t="s">
        <v>29</v>
      </c>
      <c r="V6" s="34">
        <v>44781</v>
      </c>
      <c r="W6"/>
      <c r="X6"/>
    </row>
    <row r="7" spans="1:24" x14ac:dyDescent="0.3">
      <c r="A7" t="s">
        <v>30</v>
      </c>
      <c r="B7" t="s">
        <v>256</v>
      </c>
      <c r="C7" t="s">
        <v>17</v>
      </c>
      <c r="D7" t="s">
        <v>31</v>
      </c>
      <c r="E7" s="27">
        <v>45730</v>
      </c>
      <c r="G7" s="27"/>
      <c r="I7" s="27"/>
      <c r="L7" s="30" t="str">
        <f>IF(OR(CtpyRating[[#This Row],[FI_RATING]]="",_xlfn.XLOOKUP(CtpyRating[[#This Row],[CPTY_NAME]],S:S,U:U,"",0)=CtpyRating[[#This Row],[FI_RATING]],CtpyRating[[#This Row],[New Rating]]="Yes"),"No","Yes")</f>
        <v>No</v>
      </c>
      <c r="M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" s="30" t="str">
        <f>IF(AND(CtpyRating[[#This Row],[FI_RATING]]&lt;&gt;"",_xlfn.XLOOKUP(CtpyRating[[#This Row],[CPTY_NAME]],S:S,U:U,"",0)=""),"Yes","No")</f>
        <v>No</v>
      </c>
      <c r="O7" s="30"/>
      <c r="Q7">
        <v>7</v>
      </c>
      <c r="R7">
        <v>2026</v>
      </c>
      <c r="S7" t="s">
        <v>30</v>
      </c>
      <c r="T7" t="s">
        <v>256</v>
      </c>
      <c r="U7" t="s">
        <v>31</v>
      </c>
      <c r="V7" s="34">
        <v>45730</v>
      </c>
      <c r="W7"/>
      <c r="X7"/>
    </row>
    <row r="8" spans="1:24" x14ac:dyDescent="0.3">
      <c r="A8" t="s">
        <v>32</v>
      </c>
      <c r="B8" t="s">
        <v>257</v>
      </c>
      <c r="C8" t="s">
        <v>17</v>
      </c>
      <c r="D8" t="s">
        <v>33</v>
      </c>
      <c r="E8" s="27">
        <v>45919</v>
      </c>
      <c r="G8" s="27"/>
      <c r="H8" t="s">
        <v>27</v>
      </c>
      <c r="I8" s="27">
        <v>45932</v>
      </c>
      <c r="L8" s="30" t="str">
        <f>IF(OR(CtpyRating[[#This Row],[FI_RATING]]="",_xlfn.XLOOKUP(CtpyRating[[#This Row],[CPTY_NAME]],S:S,U:U,"",0)=CtpyRating[[#This Row],[FI_RATING]],CtpyRating[[#This Row],[New Rating]]="Yes"),"No","Yes")</f>
        <v>No</v>
      </c>
      <c r="M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" s="30" t="str">
        <f>IF(AND(CtpyRating[[#This Row],[FI_RATING]]&lt;&gt;"",_xlfn.XLOOKUP(CtpyRating[[#This Row],[CPTY_NAME]],S:S,U:U,"",0)=""),"Yes","No")</f>
        <v>No</v>
      </c>
      <c r="O8" s="30"/>
      <c r="Q8">
        <v>7</v>
      </c>
      <c r="R8">
        <v>2026</v>
      </c>
      <c r="S8" t="s">
        <v>32</v>
      </c>
      <c r="T8" t="s">
        <v>257</v>
      </c>
      <c r="U8" t="s">
        <v>33</v>
      </c>
      <c r="V8" s="34">
        <v>45919</v>
      </c>
      <c r="W8"/>
      <c r="X8"/>
    </row>
    <row r="9" spans="1:24" x14ac:dyDescent="0.3">
      <c r="A9" t="s">
        <v>34</v>
      </c>
      <c r="B9" t="s">
        <v>258</v>
      </c>
      <c r="C9" t="s">
        <v>17</v>
      </c>
      <c r="D9" t="s">
        <v>24</v>
      </c>
      <c r="E9" s="27">
        <v>45929</v>
      </c>
      <c r="G9" s="27"/>
      <c r="I9" s="27"/>
      <c r="L9" s="30" t="str">
        <f>IF(OR(CtpyRating[[#This Row],[FI_RATING]]="",_xlfn.XLOOKUP(CtpyRating[[#This Row],[CPTY_NAME]],S:S,U:U,"",0)=CtpyRating[[#This Row],[FI_RATING]],CtpyRating[[#This Row],[New Rating]]="Yes"),"No","Yes")</f>
        <v>No</v>
      </c>
      <c r="M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" s="30" t="str">
        <f>IF(AND(CtpyRating[[#This Row],[FI_RATING]]&lt;&gt;"",_xlfn.XLOOKUP(CtpyRating[[#This Row],[CPTY_NAME]],S:S,U:U,"",0)=""),"Yes","No")</f>
        <v>No</v>
      </c>
      <c r="O9" s="30"/>
      <c r="Q9">
        <v>7</v>
      </c>
      <c r="R9">
        <v>2026</v>
      </c>
      <c r="S9" t="s">
        <v>34</v>
      </c>
      <c r="T9" t="s">
        <v>258</v>
      </c>
      <c r="U9" t="s">
        <v>24</v>
      </c>
      <c r="V9" s="34">
        <v>45929</v>
      </c>
      <c r="W9"/>
      <c r="X9"/>
    </row>
    <row r="10" spans="1:24" x14ac:dyDescent="0.3">
      <c r="A10" t="s">
        <v>35</v>
      </c>
      <c r="B10" t="s">
        <v>259</v>
      </c>
      <c r="C10" t="s">
        <v>17</v>
      </c>
      <c r="D10" t="s">
        <v>40</v>
      </c>
      <c r="E10" s="27">
        <v>46218</v>
      </c>
      <c r="G10" s="27"/>
      <c r="I10" s="27"/>
      <c r="L10" s="30" t="str">
        <f>IF(OR(CtpyRating[[#This Row],[FI_RATING]]="",_xlfn.XLOOKUP(CtpyRating[[#This Row],[CPTY_NAME]],S:S,U:U,"",0)=CtpyRating[[#This Row],[FI_RATING]],CtpyRating[[#This Row],[New Rating]]="Yes"),"No","Yes")</f>
        <v>Yes</v>
      </c>
      <c r="M10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10" s="30" t="str">
        <f>IF(AND(CtpyRating[[#This Row],[FI_RATING]]&lt;&gt;"",_xlfn.XLOOKUP(CtpyRating[[#This Row],[CPTY_NAME]],S:S,U:U,"",0)=""),"Yes","No")</f>
        <v>No</v>
      </c>
      <c r="O10" s="30"/>
      <c r="Q10">
        <v>7</v>
      </c>
      <c r="R10">
        <v>2026</v>
      </c>
      <c r="S10" t="s">
        <v>35</v>
      </c>
      <c r="T10" t="s">
        <v>259</v>
      </c>
      <c r="U10" t="s">
        <v>29</v>
      </c>
      <c r="V10" s="34">
        <v>45835</v>
      </c>
      <c r="W10"/>
      <c r="X10"/>
    </row>
    <row r="11" spans="1:24" x14ac:dyDescent="0.3">
      <c r="A11" t="s">
        <v>36</v>
      </c>
      <c r="B11" t="s">
        <v>260</v>
      </c>
      <c r="C11" t="s">
        <v>17</v>
      </c>
      <c r="D11" t="s">
        <v>33</v>
      </c>
      <c r="E11" s="27"/>
      <c r="G11" s="27"/>
      <c r="H11" t="s">
        <v>25</v>
      </c>
      <c r="I11" s="27">
        <v>45923</v>
      </c>
      <c r="L11" s="30" t="str">
        <f>IF(OR(CtpyRating[[#This Row],[FI_RATING]]="",_xlfn.XLOOKUP(CtpyRating[[#This Row],[CPTY_NAME]],S:S,U:U,"",0)=CtpyRating[[#This Row],[FI_RATING]],CtpyRating[[#This Row],[New Rating]]="Yes"),"No","Yes")</f>
        <v>No</v>
      </c>
      <c r="M1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" s="30" t="str">
        <f>IF(AND(CtpyRating[[#This Row],[FI_RATING]]&lt;&gt;"",_xlfn.XLOOKUP(CtpyRating[[#This Row],[CPTY_NAME]],S:S,U:U,"",0)=""),"Yes","No")</f>
        <v>No</v>
      </c>
      <c r="O11" s="30"/>
      <c r="Q11">
        <v>7</v>
      </c>
      <c r="R11">
        <v>2026</v>
      </c>
      <c r="S11" t="s">
        <v>36</v>
      </c>
      <c r="T11" t="s">
        <v>260</v>
      </c>
      <c r="U11" t="s">
        <v>33</v>
      </c>
      <c r="V11" s="34"/>
      <c r="W11"/>
      <c r="X11"/>
    </row>
    <row r="12" spans="1:24" x14ac:dyDescent="0.3">
      <c r="A12" t="s">
        <v>37</v>
      </c>
      <c r="B12" t="s">
        <v>261</v>
      </c>
      <c r="C12" t="s">
        <v>17</v>
      </c>
      <c r="D12" t="s">
        <v>33</v>
      </c>
      <c r="E12" s="27">
        <v>46141</v>
      </c>
      <c r="F12" t="s">
        <v>62</v>
      </c>
      <c r="G12" s="27">
        <v>46078</v>
      </c>
      <c r="H12" t="s">
        <v>38</v>
      </c>
      <c r="I12" s="27">
        <v>46065</v>
      </c>
      <c r="L12" s="30" t="str">
        <f>IF(OR(CtpyRating[[#This Row],[FI_RATING]]="",_xlfn.XLOOKUP(CtpyRating[[#This Row],[CPTY_NAME]],S:S,U:U,"",0)=CtpyRating[[#This Row],[FI_RATING]],CtpyRating[[#This Row],[New Rating]]="Yes"),"No","Yes")</f>
        <v>No</v>
      </c>
      <c r="M1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" s="30" t="str">
        <f>IF(AND(CtpyRating[[#This Row],[FI_RATING]]&lt;&gt;"",_xlfn.XLOOKUP(CtpyRating[[#This Row],[CPTY_NAME]],S:S,U:U,"",0)=""),"Yes","No")</f>
        <v>No</v>
      </c>
      <c r="O12" s="30"/>
      <c r="Q12">
        <v>7</v>
      </c>
      <c r="R12">
        <v>2026</v>
      </c>
      <c r="S12" t="s">
        <v>37</v>
      </c>
      <c r="T12" t="s">
        <v>261</v>
      </c>
      <c r="U12" t="s">
        <v>33</v>
      </c>
      <c r="V12" s="34">
        <v>46141</v>
      </c>
      <c r="W12"/>
      <c r="X12"/>
    </row>
    <row r="13" spans="1:24" x14ac:dyDescent="0.3">
      <c r="A13" t="s">
        <v>39</v>
      </c>
      <c r="B13" t="s">
        <v>262</v>
      </c>
      <c r="C13" t="s">
        <v>17</v>
      </c>
      <c r="D13" t="s">
        <v>18</v>
      </c>
      <c r="E13" s="27">
        <v>45792</v>
      </c>
      <c r="F13" t="s">
        <v>62</v>
      </c>
      <c r="G13" s="27">
        <v>45896</v>
      </c>
      <c r="H13" t="s">
        <v>38</v>
      </c>
      <c r="I13" s="27">
        <v>45329</v>
      </c>
      <c r="L13" s="30" t="str">
        <f>IF(OR(CtpyRating[[#This Row],[FI_RATING]]="",_xlfn.XLOOKUP(CtpyRating[[#This Row],[CPTY_NAME]],S:S,U:U,"",0)=CtpyRating[[#This Row],[FI_RATING]],CtpyRating[[#This Row],[New Rating]]="Yes"),"No","Yes")</f>
        <v>No</v>
      </c>
      <c r="M1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" s="30" t="str">
        <f>IF(AND(CtpyRating[[#This Row],[FI_RATING]]&lt;&gt;"",_xlfn.XLOOKUP(CtpyRating[[#This Row],[CPTY_NAME]],S:S,U:U,"",0)=""),"Yes","No")</f>
        <v>No</v>
      </c>
      <c r="O13" s="30"/>
      <c r="Q13">
        <v>7</v>
      </c>
      <c r="R13">
        <v>2026</v>
      </c>
      <c r="S13" t="s">
        <v>39</v>
      </c>
      <c r="T13" t="s">
        <v>262</v>
      </c>
      <c r="U13" t="s">
        <v>18</v>
      </c>
      <c r="V13" s="34">
        <v>45792</v>
      </c>
      <c r="W13"/>
      <c r="X13"/>
    </row>
    <row r="14" spans="1:24" x14ac:dyDescent="0.3">
      <c r="A14" t="s">
        <v>41</v>
      </c>
      <c r="B14" t="s">
        <v>263</v>
      </c>
      <c r="C14" t="s">
        <v>17</v>
      </c>
      <c r="D14" t="s">
        <v>18</v>
      </c>
      <c r="E14" s="27">
        <v>46209</v>
      </c>
      <c r="F14" t="s">
        <v>62</v>
      </c>
      <c r="G14" s="27">
        <v>46198</v>
      </c>
      <c r="I14" s="27"/>
      <c r="L14" s="30" t="str">
        <f>IF(OR(CtpyRating[[#This Row],[FI_RATING]]="",_xlfn.XLOOKUP(CtpyRating[[#This Row],[CPTY_NAME]],S:S,U:U,"",0)=CtpyRating[[#This Row],[FI_RATING]],CtpyRating[[#This Row],[New Rating]]="Yes"),"No","Yes")</f>
        <v>Yes</v>
      </c>
      <c r="M14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14" s="30" t="str">
        <f>IF(AND(CtpyRating[[#This Row],[FI_RATING]]&lt;&gt;"",_xlfn.XLOOKUP(CtpyRating[[#This Row],[CPTY_NAME]],S:S,U:U,"",0)=""),"Yes","No")</f>
        <v>No</v>
      </c>
      <c r="O14" s="30"/>
      <c r="Q14">
        <v>7</v>
      </c>
      <c r="R14">
        <v>2026</v>
      </c>
      <c r="S14" t="s">
        <v>41</v>
      </c>
      <c r="T14" t="s">
        <v>263</v>
      </c>
      <c r="U14" t="s">
        <v>40</v>
      </c>
      <c r="V14" s="34">
        <v>45849</v>
      </c>
      <c r="W14"/>
      <c r="X14"/>
    </row>
    <row r="15" spans="1:24" x14ac:dyDescent="0.3">
      <c r="A15" t="s">
        <v>43</v>
      </c>
      <c r="B15" t="s">
        <v>264</v>
      </c>
      <c r="C15" t="s">
        <v>17</v>
      </c>
      <c r="D15" t="s">
        <v>171</v>
      </c>
      <c r="E15" s="27">
        <v>46157</v>
      </c>
      <c r="G15" s="27"/>
      <c r="I15" s="27"/>
      <c r="L15" s="30" t="str">
        <f>IF(OR(CtpyRating[[#This Row],[FI_RATING]]="",_xlfn.XLOOKUP(CtpyRating[[#This Row],[CPTY_NAME]],S:S,U:U,"",0)=CtpyRating[[#This Row],[FI_RATING]],CtpyRating[[#This Row],[New Rating]]="Yes"),"No","Yes")</f>
        <v>No</v>
      </c>
      <c r="M1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" s="30" t="str">
        <f>IF(AND(CtpyRating[[#This Row],[FI_RATING]]&lt;&gt;"",_xlfn.XLOOKUP(CtpyRating[[#This Row],[CPTY_NAME]],S:S,U:U,"",0)=""),"Yes","No")</f>
        <v>No</v>
      </c>
      <c r="O15" s="30"/>
      <c r="Q15">
        <v>7</v>
      </c>
      <c r="R15">
        <v>2026</v>
      </c>
      <c r="S15" t="s">
        <v>43</v>
      </c>
      <c r="T15" t="s">
        <v>264</v>
      </c>
      <c r="U15" t="s">
        <v>171</v>
      </c>
      <c r="V15" s="34">
        <v>46157</v>
      </c>
      <c r="W15"/>
      <c r="X15"/>
    </row>
    <row r="16" spans="1:24" x14ac:dyDescent="0.3">
      <c r="A16" t="s">
        <v>44</v>
      </c>
      <c r="B16" t="s">
        <v>265</v>
      </c>
      <c r="C16" t="s">
        <v>17</v>
      </c>
      <c r="D16" t="s">
        <v>24</v>
      </c>
      <c r="E16" s="27">
        <v>46146</v>
      </c>
      <c r="F16" t="s">
        <v>62</v>
      </c>
      <c r="G16" s="27">
        <v>45954</v>
      </c>
      <c r="I16" s="27"/>
      <c r="L16" s="30" t="str">
        <f>IF(OR(CtpyRating[[#This Row],[FI_RATING]]="",_xlfn.XLOOKUP(CtpyRating[[#This Row],[CPTY_NAME]],S:S,U:U,"",0)=CtpyRating[[#This Row],[FI_RATING]],CtpyRating[[#This Row],[New Rating]]="Yes"),"No","Yes")</f>
        <v>No</v>
      </c>
      <c r="M1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" s="30" t="str">
        <f>IF(AND(CtpyRating[[#This Row],[FI_RATING]]&lt;&gt;"",_xlfn.XLOOKUP(CtpyRating[[#This Row],[CPTY_NAME]],S:S,U:U,"",0)=""),"Yes","No")</f>
        <v>No</v>
      </c>
      <c r="O16" s="30"/>
      <c r="Q16">
        <v>7</v>
      </c>
      <c r="R16">
        <v>2026</v>
      </c>
      <c r="S16" t="s">
        <v>44</v>
      </c>
      <c r="T16" t="s">
        <v>265</v>
      </c>
      <c r="U16" t="s">
        <v>24</v>
      </c>
      <c r="V16" s="34">
        <v>46146</v>
      </c>
      <c r="W16"/>
      <c r="X16"/>
    </row>
    <row r="17" spans="1:24" x14ac:dyDescent="0.3">
      <c r="A17" t="s">
        <v>45</v>
      </c>
      <c r="B17" t="s">
        <v>266</v>
      </c>
      <c r="C17" t="s">
        <v>17</v>
      </c>
      <c r="D17" t="s">
        <v>29</v>
      </c>
      <c r="E17" s="27">
        <v>46189</v>
      </c>
      <c r="G17" s="27"/>
      <c r="I17" s="27"/>
      <c r="L17" s="30" t="str">
        <f>IF(OR(CtpyRating[[#This Row],[FI_RATING]]="",_xlfn.XLOOKUP(CtpyRating[[#This Row],[CPTY_NAME]],S:S,U:U,"",0)=CtpyRating[[#This Row],[FI_RATING]],CtpyRating[[#This Row],[New Rating]]="Yes"),"No","Yes")</f>
        <v>No</v>
      </c>
      <c r="M17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17" s="30" t="str">
        <f>IF(AND(CtpyRating[[#This Row],[FI_RATING]]&lt;&gt;"",_xlfn.XLOOKUP(CtpyRating[[#This Row],[CPTY_NAME]],S:S,U:U,"",0)=""),"Yes","No")</f>
        <v>No</v>
      </c>
      <c r="O17" s="30"/>
      <c r="Q17">
        <v>7</v>
      </c>
      <c r="R17">
        <v>2026</v>
      </c>
      <c r="S17" t="s">
        <v>45</v>
      </c>
      <c r="T17" t="s">
        <v>266</v>
      </c>
      <c r="U17" t="s">
        <v>29</v>
      </c>
      <c r="V17" s="34">
        <v>45824</v>
      </c>
      <c r="W17"/>
      <c r="X17"/>
    </row>
    <row r="18" spans="1:24" x14ac:dyDescent="0.3">
      <c r="A18" t="s">
        <v>46</v>
      </c>
      <c r="B18" t="s">
        <v>267</v>
      </c>
      <c r="C18" t="s">
        <v>17</v>
      </c>
      <c r="D18" t="s">
        <v>18</v>
      </c>
      <c r="E18" s="27">
        <v>44326</v>
      </c>
      <c r="G18" s="27"/>
      <c r="I18" s="27"/>
      <c r="L18" s="30" t="str">
        <f>IF(OR(CtpyRating[[#This Row],[FI_RATING]]="",_xlfn.XLOOKUP(CtpyRating[[#This Row],[CPTY_NAME]],S:S,U:U,"",0)=CtpyRating[[#This Row],[FI_RATING]],CtpyRating[[#This Row],[New Rating]]="Yes"),"No","Yes")</f>
        <v>No</v>
      </c>
      <c r="M1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" s="30" t="str">
        <f>IF(AND(CtpyRating[[#This Row],[FI_RATING]]&lt;&gt;"",_xlfn.XLOOKUP(CtpyRating[[#This Row],[CPTY_NAME]],S:S,U:U,"",0)=""),"Yes","No")</f>
        <v>No</v>
      </c>
      <c r="O18" s="30"/>
      <c r="Q18">
        <v>7</v>
      </c>
      <c r="R18">
        <v>2026</v>
      </c>
      <c r="S18" t="s">
        <v>46</v>
      </c>
      <c r="T18" t="s">
        <v>267</v>
      </c>
      <c r="U18" t="s">
        <v>18</v>
      </c>
      <c r="V18" s="34">
        <v>44326</v>
      </c>
      <c r="W18"/>
      <c r="X18"/>
    </row>
    <row r="19" spans="1:24" x14ac:dyDescent="0.3">
      <c r="A19" t="s">
        <v>47</v>
      </c>
      <c r="B19" t="s">
        <v>268</v>
      </c>
      <c r="C19" t="s">
        <v>17</v>
      </c>
      <c r="D19" t="s">
        <v>18</v>
      </c>
      <c r="E19" s="27">
        <v>45782</v>
      </c>
      <c r="G19" s="27"/>
      <c r="I19" s="27"/>
      <c r="L19" s="30" t="str">
        <f>IF(OR(CtpyRating[[#This Row],[FI_RATING]]="",_xlfn.XLOOKUP(CtpyRating[[#This Row],[CPTY_NAME]],S:S,U:U,"",0)=CtpyRating[[#This Row],[FI_RATING]],CtpyRating[[#This Row],[New Rating]]="Yes"),"No","Yes")</f>
        <v>No</v>
      </c>
      <c r="M1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" s="30" t="str">
        <f>IF(AND(CtpyRating[[#This Row],[FI_RATING]]&lt;&gt;"",_xlfn.XLOOKUP(CtpyRating[[#This Row],[CPTY_NAME]],S:S,U:U,"",0)=""),"Yes","No")</f>
        <v>No</v>
      </c>
      <c r="O19" s="30"/>
      <c r="Q19">
        <v>7</v>
      </c>
      <c r="R19">
        <v>2026</v>
      </c>
      <c r="S19" t="s">
        <v>47</v>
      </c>
      <c r="T19" t="s">
        <v>268</v>
      </c>
      <c r="U19" t="s">
        <v>18</v>
      </c>
      <c r="V19" s="34">
        <v>45782</v>
      </c>
      <c r="W19"/>
      <c r="X19"/>
    </row>
    <row r="20" spans="1:24" x14ac:dyDescent="0.3">
      <c r="A20" t="s">
        <v>48</v>
      </c>
      <c r="B20" t="s">
        <v>269</v>
      </c>
      <c r="C20" t="s">
        <v>17</v>
      </c>
      <c r="D20" t="s">
        <v>18</v>
      </c>
      <c r="E20" s="27">
        <v>46169</v>
      </c>
      <c r="G20" s="27"/>
      <c r="I20" s="27"/>
      <c r="L20" s="30" t="str">
        <f>IF(OR(CtpyRating[[#This Row],[FI_RATING]]="",_xlfn.XLOOKUP(CtpyRating[[#This Row],[CPTY_NAME]],S:S,U:U,"",0)=CtpyRating[[#This Row],[FI_RATING]],CtpyRating[[#This Row],[New Rating]]="Yes"),"No","Yes")</f>
        <v>No</v>
      </c>
      <c r="M2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" s="30" t="str">
        <f>IF(AND(CtpyRating[[#This Row],[FI_RATING]]&lt;&gt;"",_xlfn.XLOOKUP(CtpyRating[[#This Row],[CPTY_NAME]],S:S,U:U,"",0)=""),"Yes","No")</f>
        <v>No</v>
      </c>
      <c r="O20" s="30"/>
      <c r="Q20">
        <v>7</v>
      </c>
      <c r="R20">
        <v>2026</v>
      </c>
      <c r="S20" t="s">
        <v>48</v>
      </c>
      <c r="T20" t="s">
        <v>269</v>
      </c>
      <c r="U20" t="s">
        <v>18</v>
      </c>
      <c r="V20" s="34">
        <v>46169</v>
      </c>
      <c r="W20"/>
      <c r="X20"/>
    </row>
    <row r="21" spans="1:24" x14ac:dyDescent="0.3">
      <c r="A21" t="s">
        <v>49</v>
      </c>
      <c r="B21" t="s">
        <v>270</v>
      </c>
      <c r="C21" t="s">
        <v>17</v>
      </c>
      <c r="D21" t="s">
        <v>40</v>
      </c>
      <c r="E21" s="27">
        <v>46183</v>
      </c>
      <c r="G21" s="27"/>
      <c r="I21" s="27"/>
      <c r="L21" s="30" t="str">
        <f>IF(OR(CtpyRating[[#This Row],[FI_RATING]]="",_xlfn.XLOOKUP(CtpyRating[[#This Row],[CPTY_NAME]],S:S,U:U,"",0)=CtpyRating[[#This Row],[FI_RATING]],CtpyRating[[#This Row],[New Rating]]="Yes"),"No","Yes")</f>
        <v>No</v>
      </c>
      <c r="M2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1" s="30" t="str">
        <f>IF(AND(CtpyRating[[#This Row],[FI_RATING]]&lt;&gt;"",_xlfn.XLOOKUP(CtpyRating[[#This Row],[CPTY_NAME]],S:S,U:U,"",0)=""),"Yes","No")</f>
        <v>No</v>
      </c>
      <c r="O21" s="30"/>
      <c r="Q21">
        <v>7</v>
      </c>
      <c r="R21">
        <v>2026</v>
      </c>
      <c r="S21" t="s">
        <v>49</v>
      </c>
      <c r="T21" t="s">
        <v>270</v>
      </c>
      <c r="U21" t="s">
        <v>40</v>
      </c>
      <c r="V21" s="34">
        <v>46183</v>
      </c>
      <c r="W21"/>
      <c r="X21"/>
    </row>
    <row r="22" spans="1:24" x14ac:dyDescent="0.3">
      <c r="A22" t="s">
        <v>50</v>
      </c>
      <c r="B22" t="s">
        <v>271</v>
      </c>
      <c r="C22" t="s">
        <v>51</v>
      </c>
      <c r="D22" t="s">
        <v>52</v>
      </c>
      <c r="E22" s="27">
        <v>46164</v>
      </c>
      <c r="G22" s="27"/>
      <c r="H22" t="s">
        <v>38</v>
      </c>
      <c r="I22" s="27">
        <v>46162</v>
      </c>
      <c r="L22" s="30" t="str">
        <f>IF(OR(CtpyRating[[#This Row],[FI_RATING]]="",_xlfn.XLOOKUP(CtpyRating[[#This Row],[CPTY_NAME]],S:S,U:U,"",0)=CtpyRating[[#This Row],[FI_RATING]],CtpyRating[[#This Row],[New Rating]]="Yes"),"No","Yes")</f>
        <v>No</v>
      </c>
      <c r="M2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2" s="30" t="str">
        <f>IF(AND(CtpyRating[[#This Row],[FI_RATING]]&lt;&gt;"",_xlfn.XLOOKUP(CtpyRating[[#This Row],[CPTY_NAME]],S:S,U:U,"",0)=""),"Yes","No")</f>
        <v>No</v>
      </c>
      <c r="O22" s="30"/>
      <c r="Q22">
        <v>7</v>
      </c>
      <c r="R22">
        <v>2026</v>
      </c>
      <c r="S22" t="s">
        <v>50</v>
      </c>
      <c r="T22" t="s">
        <v>271</v>
      </c>
      <c r="U22" t="s">
        <v>52</v>
      </c>
      <c r="V22" s="34">
        <v>46164</v>
      </c>
      <c r="W22"/>
      <c r="X22"/>
    </row>
    <row r="23" spans="1:24" x14ac:dyDescent="0.3">
      <c r="A23" t="s">
        <v>53</v>
      </c>
      <c r="B23" t="s">
        <v>272</v>
      </c>
      <c r="C23" t="s">
        <v>17</v>
      </c>
      <c r="D23" t="s">
        <v>18</v>
      </c>
      <c r="E23" s="27">
        <v>46128</v>
      </c>
      <c r="G23" s="27"/>
      <c r="I23" s="27"/>
      <c r="L23" s="30" t="str">
        <f>IF(OR(CtpyRating[[#This Row],[FI_RATING]]="",_xlfn.XLOOKUP(CtpyRating[[#This Row],[CPTY_NAME]],S:S,U:U,"",0)=CtpyRating[[#This Row],[FI_RATING]],CtpyRating[[#This Row],[New Rating]]="Yes"),"No","Yes")</f>
        <v>No</v>
      </c>
      <c r="M2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3" s="30" t="str">
        <f>IF(AND(CtpyRating[[#This Row],[FI_RATING]]&lt;&gt;"",_xlfn.XLOOKUP(CtpyRating[[#This Row],[CPTY_NAME]],S:S,U:U,"",0)=""),"Yes","No")</f>
        <v>No</v>
      </c>
      <c r="O23" s="30"/>
      <c r="Q23">
        <v>7</v>
      </c>
      <c r="R23">
        <v>2026</v>
      </c>
      <c r="S23" t="s">
        <v>53</v>
      </c>
      <c r="T23" t="s">
        <v>272</v>
      </c>
      <c r="U23" t="s">
        <v>18</v>
      </c>
      <c r="V23" s="34">
        <v>46128</v>
      </c>
      <c r="W23"/>
      <c r="X23"/>
    </row>
    <row r="24" spans="1:24" x14ac:dyDescent="0.3">
      <c r="A24" t="s">
        <v>54</v>
      </c>
      <c r="B24" t="s">
        <v>273</v>
      </c>
      <c r="C24" t="s">
        <v>17</v>
      </c>
      <c r="D24" t="s">
        <v>52</v>
      </c>
      <c r="E24" s="27">
        <v>46199</v>
      </c>
      <c r="G24" s="27"/>
      <c r="H24" t="s">
        <v>27</v>
      </c>
      <c r="I24" s="27">
        <v>45979</v>
      </c>
      <c r="L24" s="30" t="str">
        <f>IF(OR(CtpyRating[[#This Row],[FI_RATING]]="",_xlfn.XLOOKUP(CtpyRating[[#This Row],[CPTY_NAME]],S:S,U:U,"",0)=CtpyRating[[#This Row],[FI_RATING]],CtpyRating[[#This Row],[New Rating]]="Yes"),"No","Yes")</f>
        <v>No</v>
      </c>
      <c r="M2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4" s="30" t="str">
        <f>IF(AND(CtpyRating[[#This Row],[FI_RATING]]&lt;&gt;"",_xlfn.XLOOKUP(CtpyRating[[#This Row],[CPTY_NAME]],S:S,U:U,"",0)=""),"Yes","No")</f>
        <v>No</v>
      </c>
      <c r="O24" s="30"/>
      <c r="Q24">
        <v>7</v>
      </c>
      <c r="R24">
        <v>2026</v>
      </c>
      <c r="S24" t="s">
        <v>54</v>
      </c>
      <c r="T24" t="s">
        <v>273</v>
      </c>
      <c r="U24" t="s">
        <v>52</v>
      </c>
      <c r="V24" s="34">
        <v>46199</v>
      </c>
      <c r="W24"/>
      <c r="X24"/>
    </row>
    <row r="25" spans="1:24" x14ac:dyDescent="0.3">
      <c r="A25" t="s">
        <v>55</v>
      </c>
      <c r="B25" t="s">
        <v>274</v>
      </c>
      <c r="C25" t="s">
        <v>17</v>
      </c>
      <c r="D25" t="s">
        <v>52</v>
      </c>
      <c r="E25" s="27">
        <v>46142</v>
      </c>
      <c r="G25" s="27"/>
      <c r="H25" t="s">
        <v>27</v>
      </c>
      <c r="I25" s="27">
        <v>45768</v>
      </c>
      <c r="L25" s="30" t="str">
        <f>IF(OR(CtpyRating[[#This Row],[FI_RATING]]="",_xlfn.XLOOKUP(CtpyRating[[#This Row],[CPTY_NAME]],S:S,U:U,"",0)=CtpyRating[[#This Row],[FI_RATING]],CtpyRating[[#This Row],[New Rating]]="Yes"),"No","Yes")</f>
        <v>Yes</v>
      </c>
      <c r="M25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25" s="30" t="str">
        <f>IF(AND(CtpyRating[[#This Row],[FI_RATING]]&lt;&gt;"",_xlfn.XLOOKUP(CtpyRating[[#This Row],[CPTY_NAME]],S:S,U:U,"",0)=""),"Yes","No")</f>
        <v>No</v>
      </c>
      <c r="O25" s="30"/>
      <c r="Q25">
        <v>7</v>
      </c>
      <c r="R25">
        <v>2026</v>
      </c>
      <c r="S25" t="s">
        <v>55</v>
      </c>
      <c r="T25" t="s">
        <v>274</v>
      </c>
      <c r="U25" t="s">
        <v>33</v>
      </c>
      <c r="V25" s="34">
        <v>45931</v>
      </c>
      <c r="W25"/>
      <c r="X25"/>
    </row>
    <row r="26" spans="1:24" x14ac:dyDescent="0.3">
      <c r="A26" t="s">
        <v>56</v>
      </c>
      <c r="B26" t="s">
        <v>275</v>
      </c>
      <c r="C26" t="s">
        <v>17</v>
      </c>
      <c r="D26" t="s">
        <v>20</v>
      </c>
      <c r="E26" s="27">
        <v>46196</v>
      </c>
      <c r="F26" t="s">
        <v>21</v>
      </c>
      <c r="G26" s="27">
        <v>45964</v>
      </c>
      <c r="H26" t="s">
        <v>22</v>
      </c>
      <c r="I26" s="27">
        <v>46147</v>
      </c>
      <c r="J26" t="s">
        <v>21</v>
      </c>
      <c r="K26">
        <v>45894</v>
      </c>
      <c r="L26" s="30" t="str">
        <f>IF(OR(CtpyRating[[#This Row],[FI_RATING]]="",_xlfn.XLOOKUP(CtpyRating[[#This Row],[CPTY_NAME]],S:S,U:U,"",0)=CtpyRating[[#This Row],[FI_RATING]],CtpyRating[[#This Row],[New Rating]]="Yes"),"No","Yes")</f>
        <v>No</v>
      </c>
      <c r="M26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26" s="30" t="str">
        <f>IF(AND(CtpyRating[[#This Row],[FI_RATING]]&lt;&gt;"",_xlfn.XLOOKUP(CtpyRating[[#This Row],[CPTY_NAME]],S:S,U:U,"",0)=""),"Yes","No")</f>
        <v>No</v>
      </c>
      <c r="O26" s="30"/>
      <c r="Q26">
        <v>7</v>
      </c>
      <c r="R26">
        <v>2026</v>
      </c>
      <c r="S26" t="s">
        <v>56</v>
      </c>
      <c r="T26" t="s">
        <v>275</v>
      </c>
      <c r="U26" t="s">
        <v>20</v>
      </c>
      <c r="V26" s="34">
        <v>45839</v>
      </c>
      <c r="W26"/>
      <c r="X26"/>
    </row>
    <row r="27" spans="1:24" x14ac:dyDescent="0.3">
      <c r="A27" t="s">
        <v>57</v>
      </c>
      <c r="B27" t="s">
        <v>276</v>
      </c>
      <c r="C27" t="s">
        <v>17</v>
      </c>
      <c r="D27" t="s">
        <v>20</v>
      </c>
      <c r="E27" s="27"/>
      <c r="G27" s="27"/>
      <c r="H27" t="s">
        <v>22</v>
      </c>
      <c r="I27" s="27">
        <v>46147</v>
      </c>
      <c r="L27" s="30" t="str">
        <f>IF(OR(CtpyRating[[#This Row],[FI_RATING]]="",_xlfn.XLOOKUP(CtpyRating[[#This Row],[CPTY_NAME]],S:S,U:U,"",0)=CtpyRating[[#This Row],[FI_RATING]],CtpyRating[[#This Row],[New Rating]]="Yes"),"No","Yes")</f>
        <v>No</v>
      </c>
      <c r="M2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7" s="30" t="str">
        <f>IF(AND(CtpyRating[[#This Row],[FI_RATING]]&lt;&gt;"",_xlfn.XLOOKUP(CtpyRating[[#This Row],[CPTY_NAME]],S:S,U:U,"",0)=""),"Yes","No")</f>
        <v>No</v>
      </c>
      <c r="O27" s="30"/>
      <c r="Q27">
        <v>7</v>
      </c>
      <c r="R27">
        <v>2026</v>
      </c>
      <c r="S27" t="s">
        <v>57</v>
      </c>
      <c r="T27" t="s">
        <v>276</v>
      </c>
      <c r="U27" t="s">
        <v>20</v>
      </c>
      <c r="V27" s="34"/>
      <c r="W27"/>
      <c r="X27"/>
    </row>
    <row r="28" spans="1:24" x14ac:dyDescent="0.3">
      <c r="A28" t="s">
        <v>58</v>
      </c>
      <c r="B28" t="s">
        <v>277</v>
      </c>
      <c r="C28" t="s">
        <v>17</v>
      </c>
      <c r="D28" t="s">
        <v>20</v>
      </c>
      <c r="E28" s="27">
        <v>45859</v>
      </c>
      <c r="F28" t="s">
        <v>21</v>
      </c>
      <c r="G28" s="27">
        <v>45964</v>
      </c>
      <c r="H28" t="s">
        <v>22</v>
      </c>
      <c r="I28" s="27">
        <v>46044</v>
      </c>
      <c r="L28" s="30" t="str">
        <f>IF(OR(CtpyRating[[#This Row],[FI_RATING]]="",_xlfn.XLOOKUP(CtpyRating[[#This Row],[CPTY_NAME]],S:S,U:U,"",0)=CtpyRating[[#This Row],[FI_RATING]],CtpyRating[[#This Row],[New Rating]]="Yes"),"No","Yes")</f>
        <v>No</v>
      </c>
      <c r="M2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8" s="30" t="str">
        <f>IF(AND(CtpyRating[[#This Row],[FI_RATING]]&lt;&gt;"",_xlfn.XLOOKUP(CtpyRating[[#This Row],[CPTY_NAME]],S:S,U:U,"",0)=""),"Yes","No")</f>
        <v>No</v>
      </c>
      <c r="O28" s="30"/>
      <c r="Q28">
        <v>7</v>
      </c>
      <c r="R28">
        <v>2026</v>
      </c>
      <c r="S28" t="s">
        <v>58</v>
      </c>
      <c r="T28" t="s">
        <v>277</v>
      </c>
      <c r="U28" t="s">
        <v>20</v>
      </c>
      <c r="V28" s="34">
        <v>45859</v>
      </c>
      <c r="W28"/>
      <c r="X28"/>
    </row>
    <row r="29" spans="1:24" x14ac:dyDescent="0.3">
      <c r="A29" t="s">
        <v>59</v>
      </c>
      <c r="B29" t="s">
        <v>278</v>
      </c>
      <c r="C29" t="s">
        <v>17</v>
      </c>
      <c r="D29" t="s">
        <v>20</v>
      </c>
      <c r="E29" s="27">
        <v>46136</v>
      </c>
      <c r="F29" t="s">
        <v>18</v>
      </c>
      <c r="G29" s="27">
        <v>45967</v>
      </c>
      <c r="H29" t="s">
        <v>22</v>
      </c>
      <c r="I29" s="27">
        <v>46147</v>
      </c>
      <c r="L29" s="30" t="str">
        <f>IF(OR(CtpyRating[[#This Row],[FI_RATING]]="",_xlfn.XLOOKUP(CtpyRating[[#This Row],[CPTY_NAME]],S:S,U:U,"",0)=CtpyRating[[#This Row],[FI_RATING]],CtpyRating[[#This Row],[New Rating]]="Yes"),"No","Yes")</f>
        <v>No</v>
      </c>
      <c r="M2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9" s="30" t="str">
        <f>IF(AND(CtpyRating[[#This Row],[FI_RATING]]&lt;&gt;"",_xlfn.XLOOKUP(CtpyRating[[#This Row],[CPTY_NAME]],S:S,U:U,"",0)=""),"Yes","No")</f>
        <v>No</v>
      </c>
      <c r="O29" s="30"/>
      <c r="Q29">
        <v>7</v>
      </c>
      <c r="R29">
        <v>2026</v>
      </c>
      <c r="S29" t="s">
        <v>59</v>
      </c>
      <c r="T29" t="s">
        <v>278</v>
      </c>
      <c r="U29" t="s">
        <v>20</v>
      </c>
      <c r="V29" s="34">
        <v>46136</v>
      </c>
      <c r="W29"/>
      <c r="X29"/>
    </row>
    <row r="30" spans="1:24" x14ac:dyDescent="0.3">
      <c r="A30" t="s">
        <v>60</v>
      </c>
      <c r="B30" t="s">
        <v>279</v>
      </c>
      <c r="C30" t="s">
        <v>17</v>
      </c>
      <c r="D30" t="s">
        <v>20</v>
      </c>
      <c r="E30" s="27">
        <v>46211</v>
      </c>
      <c r="G30" s="27"/>
      <c r="I30" s="27"/>
      <c r="L30" s="30" t="str">
        <f>IF(OR(CtpyRating[[#This Row],[FI_RATING]]="",_xlfn.XLOOKUP(CtpyRating[[#This Row],[CPTY_NAME]],S:S,U:U,"",0)=CtpyRating[[#This Row],[FI_RATING]],CtpyRating[[#This Row],[New Rating]]="Yes"),"No","Yes")</f>
        <v>Yes</v>
      </c>
      <c r="M30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30" s="30" t="str">
        <f>IF(AND(CtpyRating[[#This Row],[FI_RATING]]&lt;&gt;"",_xlfn.XLOOKUP(CtpyRating[[#This Row],[CPTY_NAME]],S:S,U:U,"",0)=""),"Yes","No")</f>
        <v>No</v>
      </c>
      <c r="O30" s="30"/>
      <c r="Q30">
        <v>7</v>
      </c>
      <c r="R30">
        <v>2026</v>
      </c>
      <c r="S30" t="s">
        <v>60</v>
      </c>
      <c r="T30" t="s">
        <v>279</v>
      </c>
      <c r="U30" t="s">
        <v>52</v>
      </c>
      <c r="V30" s="34">
        <v>45853</v>
      </c>
      <c r="W30"/>
      <c r="X30"/>
    </row>
    <row r="31" spans="1:24" x14ac:dyDescent="0.3">
      <c r="A31" t="s">
        <v>61</v>
      </c>
      <c r="B31" t="s">
        <v>280</v>
      </c>
      <c r="C31" t="s">
        <v>17</v>
      </c>
      <c r="D31" t="s">
        <v>18</v>
      </c>
      <c r="E31" s="27">
        <v>46190</v>
      </c>
      <c r="G31" s="27"/>
      <c r="I31" s="27"/>
      <c r="J31" t="s">
        <v>62</v>
      </c>
      <c r="K31">
        <v>46128</v>
      </c>
      <c r="L31" s="30" t="str">
        <f>IF(OR(CtpyRating[[#This Row],[FI_RATING]]="",_xlfn.XLOOKUP(CtpyRating[[#This Row],[CPTY_NAME]],S:S,U:U,"",0)=CtpyRating[[#This Row],[FI_RATING]],CtpyRating[[#This Row],[New Rating]]="Yes"),"No","Yes")</f>
        <v>No</v>
      </c>
      <c r="M3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1" s="30" t="str">
        <f>IF(AND(CtpyRating[[#This Row],[FI_RATING]]&lt;&gt;"",_xlfn.XLOOKUP(CtpyRating[[#This Row],[CPTY_NAME]],S:S,U:U,"",0)=""),"Yes","No")</f>
        <v>No</v>
      </c>
      <c r="O31" s="30"/>
      <c r="Q31">
        <v>7</v>
      </c>
      <c r="R31">
        <v>2026</v>
      </c>
      <c r="S31" t="s">
        <v>61</v>
      </c>
      <c r="T31" t="s">
        <v>280</v>
      </c>
      <c r="U31" t="s">
        <v>18</v>
      </c>
      <c r="V31" s="34">
        <v>46190</v>
      </c>
      <c r="W31"/>
      <c r="X31"/>
    </row>
    <row r="32" spans="1:24" x14ac:dyDescent="0.3">
      <c r="A32" t="s">
        <v>565</v>
      </c>
      <c r="B32" t="s">
        <v>281</v>
      </c>
      <c r="C32" t="s">
        <v>17</v>
      </c>
      <c r="D32" t="s">
        <v>33</v>
      </c>
      <c r="E32" s="27"/>
      <c r="F32" t="s">
        <v>65</v>
      </c>
      <c r="G32" s="27">
        <v>46140</v>
      </c>
      <c r="H32" t="s">
        <v>25</v>
      </c>
      <c r="I32" s="27">
        <v>45979</v>
      </c>
      <c r="L32" s="30" t="str">
        <f>IF(OR(CtpyRating[[#This Row],[FI_RATING]]="",_xlfn.XLOOKUP(CtpyRating[[#This Row],[CPTY_NAME]],S:S,U:U,"",0)=CtpyRating[[#This Row],[FI_RATING]],CtpyRating[[#This Row],[New Rating]]="Yes"),"No","Yes")</f>
        <v>No</v>
      </c>
      <c r="M3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2" s="30" t="str">
        <f>IF(AND(CtpyRating[[#This Row],[FI_RATING]]&lt;&gt;"",_xlfn.XLOOKUP(CtpyRating[[#This Row],[CPTY_NAME]],S:S,U:U,"",0)=""),"Yes","No")</f>
        <v>No</v>
      </c>
      <c r="O32" s="30"/>
      <c r="Q32">
        <v>7</v>
      </c>
      <c r="R32">
        <v>2026</v>
      </c>
      <c r="S32" t="s">
        <v>565</v>
      </c>
      <c r="T32" t="s">
        <v>281</v>
      </c>
      <c r="U32" t="s">
        <v>33</v>
      </c>
      <c r="V32" s="34"/>
      <c r="W32"/>
      <c r="X32"/>
    </row>
    <row r="33" spans="1:24" x14ac:dyDescent="0.3">
      <c r="A33" t="s">
        <v>64</v>
      </c>
      <c r="B33" t="s">
        <v>282</v>
      </c>
      <c r="C33" t="s">
        <v>17</v>
      </c>
      <c r="D33" t="s">
        <v>52</v>
      </c>
      <c r="E33" s="27">
        <v>46203</v>
      </c>
      <c r="F33" t="s">
        <v>65</v>
      </c>
      <c r="G33" s="27">
        <v>45967</v>
      </c>
      <c r="H33" t="s">
        <v>27</v>
      </c>
      <c r="I33" s="27">
        <v>46147</v>
      </c>
      <c r="L33" s="30" t="str">
        <f>IF(OR(CtpyRating[[#This Row],[FI_RATING]]="",_xlfn.XLOOKUP(CtpyRating[[#This Row],[CPTY_NAME]],S:S,U:U,"",0)=CtpyRating[[#This Row],[FI_RATING]],CtpyRating[[#This Row],[New Rating]]="Yes"),"No","Yes")</f>
        <v>No</v>
      </c>
      <c r="M33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33" s="30" t="str">
        <f>IF(AND(CtpyRating[[#This Row],[FI_RATING]]&lt;&gt;"",_xlfn.XLOOKUP(CtpyRating[[#This Row],[CPTY_NAME]],S:S,U:U,"",0)=""),"Yes","No")</f>
        <v>No</v>
      </c>
      <c r="O33" s="30"/>
      <c r="Q33">
        <v>7</v>
      </c>
      <c r="R33">
        <v>2026</v>
      </c>
      <c r="S33" t="s">
        <v>64</v>
      </c>
      <c r="T33" t="s">
        <v>282</v>
      </c>
      <c r="U33" t="s">
        <v>52</v>
      </c>
      <c r="V33" s="34">
        <v>45783</v>
      </c>
      <c r="W33"/>
      <c r="X33"/>
    </row>
    <row r="34" spans="1:24" x14ac:dyDescent="0.3">
      <c r="A34" t="s">
        <v>66</v>
      </c>
      <c r="B34" t="s">
        <v>283</v>
      </c>
      <c r="C34" t="s">
        <v>17</v>
      </c>
      <c r="D34" t="s">
        <v>24</v>
      </c>
      <c r="E34" s="27"/>
      <c r="G34" s="27"/>
      <c r="H34" t="s">
        <v>27</v>
      </c>
      <c r="I34" s="27"/>
      <c r="L34" s="30" t="str">
        <f>IF(OR(CtpyRating[[#This Row],[FI_RATING]]="",_xlfn.XLOOKUP(CtpyRating[[#This Row],[CPTY_NAME]],S:S,U:U,"",0)=CtpyRating[[#This Row],[FI_RATING]],CtpyRating[[#This Row],[New Rating]]="Yes"),"No","Yes")</f>
        <v>No</v>
      </c>
      <c r="M3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4" s="30" t="str">
        <f>IF(AND(CtpyRating[[#This Row],[FI_RATING]]&lt;&gt;"",_xlfn.XLOOKUP(CtpyRating[[#This Row],[CPTY_NAME]],S:S,U:U,"",0)=""),"Yes","No")</f>
        <v>No</v>
      </c>
      <c r="O34" s="30"/>
      <c r="Q34">
        <v>7</v>
      </c>
      <c r="R34">
        <v>2026</v>
      </c>
      <c r="S34" t="s">
        <v>66</v>
      </c>
      <c r="T34" t="s">
        <v>283</v>
      </c>
      <c r="U34" t="s">
        <v>24</v>
      </c>
      <c r="V34" s="34"/>
      <c r="W34"/>
      <c r="X34"/>
    </row>
    <row r="35" spans="1:24" x14ac:dyDescent="0.3">
      <c r="A35" t="s">
        <v>67</v>
      </c>
      <c r="B35" t="s">
        <v>284</v>
      </c>
      <c r="C35" t="s">
        <v>17</v>
      </c>
      <c r="D35" t="s">
        <v>52</v>
      </c>
      <c r="E35" s="27">
        <v>46022</v>
      </c>
      <c r="G35" s="27"/>
      <c r="H35" t="s">
        <v>25</v>
      </c>
      <c r="I35" s="27">
        <v>46133</v>
      </c>
      <c r="L35" s="30" t="str">
        <f>IF(OR(CtpyRating[[#This Row],[FI_RATING]]="",_xlfn.XLOOKUP(CtpyRating[[#This Row],[CPTY_NAME]],S:S,U:U,"",0)=CtpyRating[[#This Row],[FI_RATING]],CtpyRating[[#This Row],[New Rating]]="Yes"),"No","Yes")</f>
        <v>No</v>
      </c>
      <c r="M3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5" s="30" t="str">
        <f>IF(AND(CtpyRating[[#This Row],[FI_RATING]]&lt;&gt;"",_xlfn.XLOOKUP(CtpyRating[[#This Row],[CPTY_NAME]],S:S,U:U,"",0)=""),"Yes","No")</f>
        <v>No</v>
      </c>
      <c r="O35" s="30"/>
      <c r="Q35">
        <v>7</v>
      </c>
      <c r="R35">
        <v>2026</v>
      </c>
      <c r="S35" t="s">
        <v>67</v>
      </c>
      <c r="T35" t="s">
        <v>284</v>
      </c>
      <c r="U35" t="s">
        <v>52</v>
      </c>
      <c r="V35" s="34">
        <v>46022</v>
      </c>
      <c r="W35"/>
      <c r="X35"/>
    </row>
    <row r="36" spans="1:24" x14ac:dyDescent="0.3">
      <c r="A36" t="s">
        <v>68</v>
      </c>
      <c r="B36" t="s">
        <v>285</v>
      </c>
      <c r="C36" t="s">
        <v>17</v>
      </c>
      <c r="D36" t="s">
        <v>24</v>
      </c>
      <c r="E36" s="27">
        <v>46172</v>
      </c>
      <c r="G36" s="27"/>
      <c r="H36" t="s">
        <v>38</v>
      </c>
      <c r="I36" s="27">
        <v>46066</v>
      </c>
      <c r="L36" s="30" t="str">
        <f>IF(OR(CtpyRating[[#This Row],[FI_RATING]]="",_xlfn.XLOOKUP(CtpyRating[[#This Row],[CPTY_NAME]],S:S,U:U,"",0)=CtpyRating[[#This Row],[FI_RATING]],CtpyRating[[#This Row],[New Rating]]="Yes"),"No","Yes")</f>
        <v>No</v>
      </c>
      <c r="M3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6" s="30" t="str">
        <f>IF(AND(CtpyRating[[#This Row],[FI_RATING]]&lt;&gt;"",_xlfn.XLOOKUP(CtpyRating[[#This Row],[CPTY_NAME]],S:S,U:U,"",0)=""),"Yes","No")</f>
        <v>No</v>
      </c>
      <c r="O36" s="30"/>
      <c r="Q36">
        <v>7</v>
      </c>
      <c r="R36">
        <v>2026</v>
      </c>
      <c r="S36" t="s">
        <v>68</v>
      </c>
      <c r="T36" t="s">
        <v>285</v>
      </c>
      <c r="U36" t="s">
        <v>24</v>
      </c>
      <c r="V36" s="34">
        <v>46172</v>
      </c>
      <c r="W36"/>
      <c r="X36"/>
    </row>
    <row r="37" spans="1:24" x14ac:dyDescent="0.3">
      <c r="A37" t="s">
        <v>69</v>
      </c>
      <c r="B37" t="s">
        <v>286</v>
      </c>
      <c r="C37" t="s">
        <v>51</v>
      </c>
      <c r="D37" t="s">
        <v>33</v>
      </c>
      <c r="E37" s="27">
        <v>46140</v>
      </c>
      <c r="G37" s="27"/>
      <c r="I37" s="27"/>
      <c r="L37" s="30" t="str">
        <f>IF(OR(CtpyRating[[#This Row],[FI_RATING]]="",_xlfn.XLOOKUP(CtpyRating[[#This Row],[CPTY_NAME]],S:S,U:U,"",0)=CtpyRating[[#This Row],[FI_RATING]],CtpyRating[[#This Row],[New Rating]]="Yes"),"No","Yes")</f>
        <v>No</v>
      </c>
      <c r="M3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7" s="30" t="str">
        <f>IF(AND(CtpyRating[[#This Row],[FI_RATING]]&lt;&gt;"",_xlfn.XLOOKUP(CtpyRating[[#This Row],[CPTY_NAME]],S:S,U:U,"",0)=""),"Yes","No")</f>
        <v>No</v>
      </c>
      <c r="O37" s="30"/>
      <c r="Q37">
        <v>7</v>
      </c>
      <c r="R37">
        <v>2026</v>
      </c>
      <c r="S37" t="s">
        <v>69</v>
      </c>
      <c r="T37" t="s">
        <v>286</v>
      </c>
      <c r="U37" t="s">
        <v>33</v>
      </c>
      <c r="V37" s="34">
        <v>46140</v>
      </c>
      <c r="W37"/>
      <c r="X37"/>
    </row>
    <row r="38" spans="1:24" x14ac:dyDescent="0.3">
      <c r="A38" t="s">
        <v>70</v>
      </c>
      <c r="B38" t="s">
        <v>287</v>
      </c>
      <c r="C38" t="s">
        <v>71</v>
      </c>
      <c r="D38" t="s">
        <v>20</v>
      </c>
      <c r="E38" s="27">
        <v>45917</v>
      </c>
      <c r="G38" s="27"/>
      <c r="I38" s="27"/>
      <c r="L38" s="30" t="str">
        <f>IF(OR(CtpyRating[[#This Row],[FI_RATING]]="",_xlfn.XLOOKUP(CtpyRating[[#This Row],[CPTY_NAME]],S:S,U:U,"",0)=CtpyRating[[#This Row],[FI_RATING]],CtpyRating[[#This Row],[New Rating]]="Yes"),"No","Yes")</f>
        <v>No</v>
      </c>
      <c r="M3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8" s="30" t="str">
        <f>IF(AND(CtpyRating[[#This Row],[FI_RATING]]&lt;&gt;"",_xlfn.XLOOKUP(CtpyRating[[#This Row],[CPTY_NAME]],S:S,U:U,"",0)=""),"Yes","No")</f>
        <v>No</v>
      </c>
      <c r="O38" s="30"/>
      <c r="Q38">
        <v>7</v>
      </c>
      <c r="R38">
        <v>2026</v>
      </c>
      <c r="S38" t="s">
        <v>70</v>
      </c>
      <c r="T38" t="s">
        <v>287</v>
      </c>
      <c r="U38" t="s">
        <v>20</v>
      </c>
      <c r="V38" s="34">
        <v>45917</v>
      </c>
      <c r="W38"/>
      <c r="X38"/>
    </row>
    <row r="39" spans="1:24" x14ac:dyDescent="0.3">
      <c r="A39" t="s">
        <v>72</v>
      </c>
      <c r="B39" t="s">
        <v>288</v>
      </c>
      <c r="C39" t="s">
        <v>71</v>
      </c>
      <c r="D39" t="s">
        <v>73</v>
      </c>
      <c r="E39" s="27"/>
      <c r="G39" s="27"/>
      <c r="I39" s="27"/>
      <c r="L39" s="30" t="str">
        <f>IF(OR(CtpyRating[[#This Row],[FI_RATING]]="",_xlfn.XLOOKUP(CtpyRating[[#This Row],[CPTY_NAME]],S:S,U:U,"",0)=CtpyRating[[#This Row],[FI_RATING]],CtpyRating[[#This Row],[New Rating]]="Yes"),"No","Yes")</f>
        <v>No</v>
      </c>
      <c r="M3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39" s="30" t="str">
        <f>IF(AND(CtpyRating[[#This Row],[FI_RATING]]&lt;&gt;"",_xlfn.XLOOKUP(CtpyRating[[#This Row],[CPTY_NAME]],S:S,U:U,"",0)=""),"Yes","No")</f>
        <v>No</v>
      </c>
      <c r="O39" s="30"/>
      <c r="Q39">
        <v>7</v>
      </c>
      <c r="R39">
        <v>2026</v>
      </c>
      <c r="S39" t="s">
        <v>72</v>
      </c>
      <c r="T39" t="s">
        <v>288</v>
      </c>
      <c r="U39" t="s">
        <v>73</v>
      </c>
      <c r="V39" s="34"/>
      <c r="W39"/>
      <c r="X39"/>
    </row>
    <row r="40" spans="1:24" x14ac:dyDescent="0.3">
      <c r="A40" t="s">
        <v>74</v>
      </c>
      <c r="B40" t="s">
        <v>289</v>
      </c>
      <c r="C40" t="s">
        <v>71</v>
      </c>
      <c r="D40" t="s">
        <v>24</v>
      </c>
      <c r="E40" s="27">
        <v>45936</v>
      </c>
      <c r="G40" s="27"/>
      <c r="I40" s="27"/>
      <c r="L40" s="30" t="str">
        <f>IF(OR(CtpyRating[[#This Row],[FI_RATING]]="",_xlfn.XLOOKUP(CtpyRating[[#This Row],[CPTY_NAME]],S:S,U:U,"",0)=CtpyRating[[#This Row],[FI_RATING]],CtpyRating[[#This Row],[New Rating]]="Yes"),"No","Yes")</f>
        <v>No</v>
      </c>
      <c r="M4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0" s="30" t="str">
        <f>IF(AND(CtpyRating[[#This Row],[FI_RATING]]&lt;&gt;"",_xlfn.XLOOKUP(CtpyRating[[#This Row],[CPTY_NAME]],S:S,U:U,"",0)=""),"Yes","No")</f>
        <v>No</v>
      </c>
      <c r="O40" s="30"/>
      <c r="Q40">
        <v>7</v>
      </c>
      <c r="R40">
        <v>2026</v>
      </c>
      <c r="S40" t="s">
        <v>74</v>
      </c>
      <c r="T40" t="s">
        <v>289</v>
      </c>
      <c r="U40" t="s">
        <v>24</v>
      </c>
      <c r="V40" s="34">
        <v>45936</v>
      </c>
      <c r="W40"/>
      <c r="X40"/>
    </row>
    <row r="41" spans="1:24" x14ac:dyDescent="0.3">
      <c r="A41" t="s">
        <v>242</v>
      </c>
      <c r="B41" t="s">
        <v>588</v>
      </c>
      <c r="C41" t="s">
        <v>71</v>
      </c>
      <c r="D41" t="s">
        <v>24</v>
      </c>
      <c r="E41" s="27"/>
      <c r="G41" s="27"/>
      <c r="I41" s="27"/>
      <c r="L41" s="30" t="str">
        <f>IF(OR(CtpyRating[[#This Row],[FI_RATING]]="",_xlfn.XLOOKUP(CtpyRating[[#This Row],[CPTY_NAME]],S:S,U:U,"",0)=CtpyRating[[#This Row],[FI_RATING]],CtpyRating[[#This Row],[New Rating]]="Yes"),"No","Yes")</f>
        <v>No</v>
      </c>
      <c r="M4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1" s="30" t="str">
        <f>IF(AND(CtpyRating[[#This Row],[FI_RATING]]&lt;&gt;"",_xlfn.XLOOKUP(CtpyRating[[#This Row],[CPTY_NAME]],S:S,U:U,"",0)=""),"Yes","No")</f>
        <v>Yes</v>
      </c>
      <c r="O41" s="30"/>
      <c r="Q41">
        <v>7</v>
      </c>
      <c r="R41">
        <v>2026</v>
      </c>
      <c r="S41" t="s">
        <v>76</v>
      </c>
      <c r="T41" t="s">
        <v>291</v>
      </c>
      <c r="U41" t="s">
        <v>29</v>
      </c>
      <c r="V41" s="34"/>
      <c r="W41"/>
      <c r="X41"/>
    </row>
    <row r="42" spans="1:24" x14ac:dyDescent="0.3">
      <c r="A42" t="s">
        <v>76</v>
      </c>
      <c r="B42" t="s">
        <v>291</v>
      </c>
      <c r="C42" t="s">
        <v>71</v>
      </c>
      <c r="D42" t="s">
        <v>29</v>
      </c>
      <c r="E42" s="27"/>
      <c r="G42" s="27"/>
      <c r="I42" s="27"/>
      <c r="L42" s="30" t="str">
        <f>IF(OR(CtpyRating[[#This Row],[FI_RATING]]="",_xlfn.XLOOKUP(CtpyRating[[#This Row],[CPTY_NAME]],S:S,U:U,"",0)=CtpyRating[[#This Row],[FI_RATING]],CtpyRating[[#This Row],[New Rating]]="Yes"),"No","Yes")</f>
        <v>No</v>
      </c>
      <c r="M4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2" s="30" t="str">
        <f>IF(AND(CtpyRating[[#This Row],[FI_RATING]]&lt;&gt;"",_xlfn.XLOOKUP(CtpyRating[[#This Row],[CPTY_NAME]],S:S,U:U,"",0)=""),"Yes","No")</f>
        <v>No</v>
      </c>
      <c r="O42" s="30"/>
      <c r="Q42">
        <v>7</v>
      </c>
      <c r="R42">
        <v>2026</v>
      </c>
      <c r="S42" t="s">
        <v>77</v>
      </c>
      <c r="T42" t="s">
        <v>292</v>
      </c>
      <c r="U42" t="s">
        <v>31</v>
      </c>
      <c r="V42" s="34"/>
      <c r="W42"/>
      <c r="X42"/>
    </row>
    <row r="43" spans="1:24" x14ac:dyDescent="0.3">
      <c r="A43" t="s">
        <v>77</v>
      </c>
      <c r="B43" t="s">
        <v>292</v>
      </c>
      <c r="C43" t="s">
        <v>71</v>
      </c>
      <c r="D43" t="s">
        <v>31</v>
      </c>
      <c r="E43" s="27"/>
      <c r="G43" s="27"/>
      <c r="I43" s="27"/>
      <c r="L43" s="30" t="str">
        <f>IF(OR(CtpyRating[[#This Row],[FI_RATING]]="",_xlfn.XLOOKUP(CtpyRating[[#This Row],[CPTY_NAME]],S:S,U:U,"",0)=CtpyRating[[#This Row],[FI_RATING]],CtpyRating[[#This Row],[New Rating]]="Yes"),"No","Yes")</f>
        <v>No</v>
      </c>
      <c r="M4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3" s="30" t="str">
        <f>IF(AND(CtpyRating[[#This Row],[FI_RATING]]&lt;&gt;"",_xlfn.XLOOKUP(CtpyRating[[#This Row],[CPTY_NAME]],S:S,U:U,"",0)=""),"Yes","No")</f>
        <v>No</v>
      </c>
      <c r="O43" s="30"/>
      <c r="Q43">
        <v>7</v>
      </c>
      <c r="R43">
        <v>2026</v>
      </c>
      <c r="S43" t="s">
        <v>78</v>
      </c>
      <c r="T43" t="s">
        <v>293</v>
      </c>
      <c r="U43" t="s">
        <v>20</v>
      </c>
      <c r="V43" s="34">
        <v>45981</v>
      </c>
      <c r="W43"/>
      <c r="X43"/>
    </row>
    <row r="44" spans="1:24" x14ac:dyDescent="0.3">
      <c r="A44" t="s">
        <v>78</v>
      </c>
      <c r="B44" t="s">
        <v>293</v>
      </c>
      <c r="C44" t="s">
        <v>71</v>
      </c>
      <c r="D44" t="s">
        <v>20</v>
      </c>
      <c r="E44" s="27">
        <v>45981</v>
      </c>
      <c r="G44" s="27"/>
      <c r="I44" s="27"/>
      <c r="L44" s="30" t="str">
        <f>IF(OR(CtpyRating[[#This Row],[FI_RATING]]="",_xlfn.XLOOKUP(CtpyRating[[#This Row],[CPTY_NAME]],S:S,U:U,"",0)=CtpyRating[[#This Row],[FI_RATING]],CtpyRating[[#This Row],[New Rating]]="Yes"),"No","Yes")</f>
        <v>No</v>
      </c>
      <c r="M4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4" s="30" t="str">
        <f>IF(AND(CtpyRating[[#This Row],[FI_RATING]]&lt;&gt;"",_xlfn.XLOOKUP(CtpyRating[[#This Row],[CPTY_NAME]],S:S,U:U,"",0)=""),"Yes","No")</f>
        <v>No</v>
      </c>
      <c r="O44" s="30"/>
      <c r="Q44">
        <v>7</v>
      </c>
      <c r="R44">
        <v>2026</v>
      </c>
      <c r="S44" t="s">
        <v>79</v>
      </c>
      <c r="T44" t="s">
        <v>294</v>
      </c>
      <c r="U44" t="s">
        <v>73</v>
      </c>
      <c r="V44" s="34"/>
      <c r="W44"/>
      <c r="X44"/>
    </row>
    <row r="45" spans="1:24" x14ac:dyDescent="0.3">
      <c r="A45" t="s">
        <v>79</v>
      </c>
      <c r="B45" t="s">
        <v>294</v>
      </c>
      <c r="C45" t="s">
        <v>71</v>
      </c>
      <c r="D45" t="s">
        <v>73</v>
      </c>
      <c r="E45" s="27"/>
      <c r="G45" s="27"/>
      <c r="I45" s="27"/>
      <c r="L45" s="30" t="str">
        <f>IF(OR(CtpyRating[[#This Row],[FI_RATING]]="",_xlfn.XLOOKUP(CtpyRating[[#This Row],[CPTY_NAME]],S:S,U:U,"",0)=CtpyRating[[#This Row],[FI_RATING]],CtpyRating[[#This Row],[New Rating]]="Yes"),"No","Yes")</f>
        <v>No</v>
      </c>
      <c r="M4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5" s="30" t="str">
        <f>IF(AND(CtpyRating[[#This Row],[FI_RATING]]&lt;&gt;"",_xlfn.XLOOKUP(CtpyRating[[#This Row],[CPTY_NAME]],S:S,U:U,"",0)=""),"Yes","No")</f>
        <v>No</v>
      </c>
      <c r="O45" s="30"/>
      <c r="Q45">
        <v>7</v>
      </c>
      <c r="R45">
        <v>2026</v>
      </c>
      <c r="S45" t="s">
        <v>80</v>
      </c>
      <c r="T45" t="s">
        <v>295</v>
      </c>
      <c r="U45" t="s">
        <v>31</v>
      </c>
      <c r="V45" s="34"/>
      <c r="W45"/>
      <c r="X45"/>
    </row>
    <row r="46" spans="1:24" x14ac:dyDescent="0.3">
      <c r="A46" t="s">
        <v>80</v>
      </c>
      <c r="B46" t="s">
        <v>295</v>
      </c>
      <c r="C46" t="s">
        <v>71</v>
      </c>
      <c r="D46" t="s">
        <v>31</v>
      </c>
      <c r="E46" s="27"/>
      <c r="G46" s="27"/>
      <c r="I46" s="27"/>
      <c r="L46" s="30" t="str">
        <f>IF(OR(CtpyRating[[#This Row],[FI_RATING]]="",_xlfn.XLOOKUP(CtpyRating[[#This Row],[CPTY_NAME]],S:S,U:U,"",0)=CtpyRating[[#This Row],[FI_RATING]],CtpyRating[[#This Row],[New Rating]]="Yes"),"No","Yes")</f>
        <v>No</v>
      </c>
      <c r="M4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6" s="30" t="str">
        <f>IF(AND(CtpyRating[[#This Row],[FI_RATING]]&lt;&gt;"",_xlfn.XLOOKUP(CtpyRating[[#This Row],[CPTY_NAME]],S:S,U:U,"",0)=""),"Yes","No")</f>
        <v>No</v>
      </c>
      <c r="O46" s="30"/>
      <c r="Q46">
        <v>7</v>
      </c>
      <c r="R46">
        <v>2026</v>
      </c>
      <c r="S46" t="s">
        <v>81</v>
      </c>
      <c r="T46" t="s">
        <v>296</v>
      </c>
      <c r="U46" t="s">
        <v>31</v>
      </c>
      <c r="V46" s="34"/>
      <c r="W46"/>
      <c r="X46"/>
    </row>
    <row r="47" spans="1:24" x14ac:dyDescent="0.3">
      <c r="A47" t="s">
        <v>81</v>
      </c>
      <c r="B47" t="s">
        <v>296</v>
      </c>
      <c r="C47" t="s">
        <v>71</v>
      </c>
      <c r="D47" t="s">
        <v>31</v>
      </c>
      <c r="E47" s="27"/>
      <c r="G47" s="27"/>
      <c r="I47" s="27"/>
      <c r="L47" s="30" t="str">
        <f>IF(OR(CtpyRating[[#This Row],[FI_RATING]]="",_xlfn.XLOOKUP(CtpyRating[[#This Row],[CPTY_NAME]],S:S,U:U,"",0)=CtpyRating[[#This Row],[FI_RATING]],CtpyRating[[#This Row],[New Rating]]="Yes"),"No","Yes")</f>
        <v>No</v>
      </c>
      <c r="M4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7" s="30" t="str">
        <f>IF(AND(CtpyRating[[#This Row],[FI_RATING]]&lt;&gt;"",_xlfn.XLOOKUP(CtpyRating[[#This Row],[CPTY_NAME]],S:S,U:U,"",0)=""),"Yes","No")</f>
        <v>No</v>
      </c>
      <c r="O47" s="30"/>
      <c r="Q47">
        <v>7</v>
      </c>
      <c r="R47">
        <v>2026</v>
      </c>
      <c r="S47" t="s">
        <v>82</v>
      </c>
      <c r="T47" t="s">
        <v>297</v>
      </c>
      <c r="U47" t="s">
        <v>31</v>
      </c>
      <c r="V47" s="34"/>
      <c r="W47"/>
      <c r="X47"/>
    </row>
    <row r="48" spans="1:24" x14ac:dyDescent="0.3">
      <c r="A48" t="s">
        <v>82</v>
      </c>
      <c r="B48" t="s">
        <v>297</v>
      </c>
      <c r="C48" t="s">
        <v>71</v>
      </c>
      <c r="D48" t="s">
        <v>31</v>
      </c>
      <c r="E48" s="27"/>
      <c r="G48" s="27"/>
      <c r="I48" s="27"/>
      <c r="L48" s="30" t="str">
        <f>IF(OR(CtpyRating[[#This Row],[FI_RATING]]="",_xlfn.XLOOKUP(CtpyRating[[#This Row],[CPTY_NAME]],S:S,U:U,"",0)=CtpyRating[[#This Row],[FI_RATING]],CtpyRating[[#This Row],[New Rating]]="Yes"),"No","Yes")</f>
        <v>No</v>
      </c>
      <c r="M4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8" s="30" t="str">
        <f>IF(AND(CtpyRating[[#This Row],[FI_RATING]]&lt;&gt;"",_xlfn.XLOOKUP(CtpyRating[[#This Row],[CPTY_NAME]],S:S,U:U,"",0)=""),"Yes","No")</f>
        <v>No</v>
      </c>
      <c r="O48" s="30"/>
      <c r="Q48">
        <v>7</v>
      </c>
      <c r="R48">
        <v>2026</v>
      </c>
      <c r="S48" t="s">
        <v>83</v>
      </c>
      <c r="T48" t="s">
        <v>298</v>
      </c>
      <c r="U48" t="s">
        <v>31</v>
      </c>
      <c r="V48" s="34"/>
      <c r="W48"/>
      <c r="X48"/>
    </row>
    <row r="49" spans="1:24" x14ac:dyDescent="0.3">
      <c r="A49" t="s">
        <v>83</v>
      </c>
      <c r="B49" t="s">
        <v>298</v>
      </c>
      <c r="C49" t="s">
        <v>71</v>
      </c>
      <c r="D49" t="s">
        <v>31</v>
      </c>
      <c r="E49" s="27"/>
      <c r="G49" s="27"/>
      <c r="I49" s="27"/>
      <c r="L49" s="30" t="str">
        <f>IF(OR(CtpyRating[[#This Row],[FI_RATING]]="",_xlfn.XLOOKUP(CtpyRating[[#This Row],[CPTY_NAME]],S:S,U:U,"",0)=CtpyRating[[#This Row],[FI_RATING]],CtpyRating[[#This Row],[New Rating]]="Yes"),"No","Yes")</f>
        <v>No</v>
      </c>
      <c r="M4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49" s="30" t="str">
        <f>IF(AND(CtpyRating[[#This Row],[FI_RATING]]&lt;&gt;"",_xlfn.XLOOKUP(CtpyRating[[#This Row],[CPTY_NAME]],S:S,U:U,"",0)=""),"Yes","No")</f>
        <v>No</v>
      </c>
      <c r="O49" s="30"/>
      <c r="Q49">
        <v>7</v>
      </c>
      <c r="R49">
        <v>2026</v>
      </c>
      <c r="S49" t="s">
        <v>84</v>
      </c>
      <c r="T49" t="s">
        <v>299</v>
      </c>
      <c r="U49" t="s">
        <v>31</v>
      </c>
      <c r="V49" s="34"/>
      <c r="W49"/>
      <c r="X49"/>
    </row>
    <row r="50" spans="1:24" x14ac:dyDescent="0.3">
      <c r="A50" t="s">
        <v>84</v>
      </c>
      <c r="B50" t="s">
        <v>299</v>
      </c>
      <c r="C50" t="s">
        <v>71</v>
      </c>
      <c r="D50" t="s">
        <v>31</v>
      </c>
      <c r="E50" s="27"/>
      <c r="G50" s="27"/>
      <c r="I50" s="27"/>
      <c r="L50" s="30" t="str">
        <f>IF(OR(CtpyRating[[#This Row],[FI_RATING]]="",_xlfn.XLOOKUP(CtpyRating[[#This Row],[CPTY_NAME]],S:S,U:U,"",0)=CtpyRating[[#This Row],[FI_RATING]],CtpyRating[[#This Row],[New Rating]]="Yes"),"No","Yes")</f>
        <v>No</v>
      </c>
      <c r="M5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0" s="30" t="str">
        <f>IF(AND(CtpyRating[[#This Row],[FI_RATING]]&lt;&gt;"",_xlfn.XLOOKUP(CtpyRating[[#This Row],[CPTY_NAME]],S:S,U:U,"",0)=""),"Yes","No")</f>
        <v>No</v>
      </c>
      <c r="O50" s="30"/>
      <c r="Q50">
        <v>7</v>
      </c>
      <c r="R50">
        <v>2026</v>
      </c>
      <c r="S50" t="s">
        <v>85</v>
      </c>
      <c r="T50" t="s">
        <v>300</v>
      </c>
      <c r="U50" t="s">
        <v>31</v>
      </c>
      <c r="V50" s="34"/>
      <c r="W50"/>
      <c r="X50"/>
    </row>
    <row r="51" spans="1:24" x14ac:dyDescent="0.3">
      <c r="A51" t="s">
        <v>85</v>
      </c>
      <c r="B51" t="s">
        <v>300</v>
      </c>
      <c r="C51" t="s">
        <v>71</v>
      </c>
      <c r="D51" t="s">
        <v>31</v>
      </c>
      <c r="E51" s="27"/>
      <c r="G51" s="27"/>
      <c r="I51" s="27"/>
      <c r="L51" s="30" t="str">
        <f>IF(OR(CtpyRating[[#This Row],[FI_RATING]]="",_xlfn.XLOOKUP(CtpyRating[[#This Row],[CPTY_NAME]],S:S,U:U,"",0)=CtpyRating[[#This Row],[FI_RATING]],CtpyRating[[#This Row],[New Rating]]="Yes"),"No","Yes")</f>
        <v>No</v>
      </c>
      <c r="M5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1" s="30" t="str">
        <f>IF(AND(CtpyRating[[#This Row],[FI_RATING]]&lt;&gt;"",_xlfn.XLOOKUP(CtpyRating[[#This Row],[CPTY_NAME]],S:S,U:U,"",0)=""),"Yes","No")</f>
        <v>No</v>
      </c>
      <c r="O51" s="30"/>
      <c r="Q51">
        <v>7</v>
      </c>
      <c r="R51">
        <v>2026</v>
      </c>
      <c r="S51" t="s">
        <v>86</v>
      </c>
      <c r="T51" t="s">
        <v>301</v>
      </c>
      <c r="U51" t="s">
        <v>31</v>
      </c>
      <c r="V51" s="34"/>
      <c r="W51"/>
      <c r="X51"/>
    </row>
    <row r="52" spans="1:24" x14ac:dyDescent="0.3">
      <c r="A52" t="s">
        <v>86</v>
      </c>
      <c r="B52" t="s">
        <v>301</v>
      </c>
      <c r="C52" t="s">
        <v>71</v>
      </c>
      <c r="D52" t="s">
        <v>31</v>
      </c>
      <c r="E52" s="27"/>
      <c r="G52" s="27"/>
      <c r="I52" s="27"/>
      <c r="L52" s="30" t="str">
        <f>IF(OR(CtpyRating[[#This Row],[FI_RATING]]="",_xlfn.XLOOKUP(CtpyRating[[#This Row],[CPTY_NAME]],S:S,U:U,"",0)=CtpyRating[[#This Row],[FI_RATING]],CtpyRating[[#This Row],[New Rating]]="Yes"),"No","Yes")</f>
        <v>No</v>
      </c>
      <c r="M5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2" s="30" t="str">
        <f>IF(AND(CtpyRating[[#This Row],[FI_RATING]]&lt;&gt;"",_xlfn.XLOOKUP(CtpyRating[[#This Row],[CPTY_NAME]],S:S,U:U,"",0)=""),"Yes","No")</f>
        <v>No</v>
      </c>
      <c r="O52" s="30"/>
      <c r="Q52">
        <v>7</v>
      </c>
      <c r="R52">
        <v>2026</v>
      </c>
      <c r="S52" t="s">
        <v>87</v>
      </c>
      <c r="T52" t="s">
        <v>302</v>
      </c>
      <c r="U52" t="s">
        <v>20</v>
      </c>
      <c r="V52" s="34"/>
      <c r="W52"/>
      <c r="X52"/>
    </row>
    <row r="53" spans="1:24" x14ac:dyDescent="0.3">
      <c r="A53" t="s">
        <v>87</v>
      </c>
      <c r="B53" t="s">
        <v>302</v>
      </c>
      <c r="C53" t="s">
        <v>71</v>
      </c>
      <c r="D53" t="s">
        <v>20</v>
      </c>
      <c r="E53" s="27"/>
      <c r="G53" s="27"/>
      <c r="I53" s="27"/>
      <c r="L53" s="30" t="str">
        <f>IF(OR(CtpyRating[[#This Row],[FI_RATING]]="",_xlfn.XLOOKUP(CtpyRating[[#This Row],[CPTY_NAME]],S:S,U:U,"",0)=CtpyRating[[#This Row],[FI_RATING]],CtpyRating[[#This Row],[New Rating]]="Yes"),"No","Yes")</f>
        <v>No</v>
      </c>
      <c r="M5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3" s="30" t="str">
        <f>IF(AND(CtpyRating[[#This Row],[FI_RATING]]&lt;&gt;"",_xlfn.XLOOKUP(CtpyRating[[#This Row],[CPTY_NAME]],S:S,U:U,"",0)=""),"Yes","No")</f>
        <v>No</v>
      </c>
      <c r="O53" s="30"/>
      <c r="Q53">
        <v>7</v>
      </c>
      <c r="R53">
        <v>2026</v>
      </c>
      <c r="S53" t="s">
        <v>88</v>
      </c>
      <c r="T53" t="s">
        <v>303</v>
      </c>
      <c r="U53" t="s">
        <v>31</v>
      </c>
      <c r="V53" s="34"/>
      <c r="W53"/>
      <c r="X53"/>
    </row>
    <row r="54" spans="1:24" x14ac:dyDescent="0.3">
      <c r="A54" t="s">
        <v>88</v>
      </c>
      <c r="B54" t="s">
        <v>303</v>
      </c>
      <c r="C54" t="s">
        <v>71</v>
      </c>
      <c r="D54" t="s">
        <v>31</v>
      </c>
      <c r="E54" s="27"/>
      <c r="G54" s="27"/>
      <c r="I54" s="27"/>
      <c r="L54" s="30" t="str">
        <f>IF(OR(CtpyRating[[#This Row],[FI_RATING]]="",_xlfn.XLOOKUP(CtpyRating[[#This Row],[CPTY_NAME]],S:S,U:U,"",0)=CtpyRating[[#This Row],[FI_RATING]],CtpyRating[[#This Row],[New Rating]]="Yes"),"No","Yes")</f>
        <v>No</v>
      </c>
      <c r="M5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4" s="30" t="str">
        <f>IF(AND(CtpyRating[[#This Row],[FI_RATING]]&lt;&gt;"",_xlfn.XLOOKUP(CtpyRating[[#This Row],[CPTY_NAME]],S:S,U:U,"",0)=""),"Yes","No")</f>
        <v>No</v>
      </c>
      <c r="O54" s="30"/>
      <c r="Q54">
        <v>7</v>
      </c>
      <c r="R54">
        <v>2026</v>
      </c>
      <c r="S54" t="s">
        <v>89</v>
      </c>
      <c r="T54" t="s">
        <v>304</v>
      </c>
      <c r="U54" t="s">
        <v>31</v>
      </c>
      <c r="V54" s="34"/>
      <c r="W54"/>
      <c r="X54"/>
    </row>
    <row r="55" spans="1:24" x14ac:dyDescent="0.3">
      <c r="A55" t="s">
        <v>89</v>
      </c>
      <c r="B55" t="s">
        <v>304</v>
      </c>
      <c r="C55" t="s">
        <v>71</v>
      </c>
      <c r="D55" t="s">
        <v>31</v>
      </c>
      <c r="E55" s="27"/>
      <c r="G55" s="27"/>
      <c r="I55" s="27"/>
      <c r="L55" s="30" t="str">
        <f>IF(OR(CtpyRating[[#This Row],[FI_RATING]]="",_xlfn.XLOOKUP(CtpyRating[[#This Row],[CPTY_NAME]],S:S,U:U,"",0)=CtpyRating[[#This Row],[FI_RATING]],CtpyRating[[#This Row],[New Rating]]="Yes"),"No","Yes")</f>
        <v>No</v>
      </c>
      <c r="M5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5" s="30" t="str">
        <f>IF(AND(CtpyRating[[#This Row],[FI_RATING]]&lt;&gt;"",_xlfn.XLOOKUP(CtpyRating[[#This Row],[CPTY_NAME]],S:S,U:U,"",0)=""),"Yes","No")</f>
        <v>No</v>
      </c>
      <c r="O55" s="30"/>
      <c r="Q55">
        <v>7</v>
      </c>
      <c r="R55">
        <v>2026</v>
      </c>
      <c r="S55" t="s">
        <v>90</v>
      </c>
      <c r="T55" t="s">
        <v>305</v>
      </c>
      <c r="U55" t="s">
        <v>31</v>
      </c>
      <c r="V55" s="34"/>
      <c r="W55"/>
      <c r="X55"/>
    </row>
    <row r="56" spans="1:24" x14ac:dyDescent="0.3">
      <c r="A56" t="s">
        <v>90</v>
      </c>
      <c r="B56" t="s">
        <v>305</v>
      </c>
      <c r="C56" t="s">
        <v>71</v>
      </c>
      <c r="D56" t="s">
        <v>31</v>
      </c>
      <c r="E56" s="27"/>
      <c r="G56" s="27"/>
      <c r="I56" s="27"/>
      <c r="L56" s="30" t="str">
        <f>IF(OR(CtpyRating[[#This Row],[FI_RATING]]="",_xlfn.XLOOKUP(CtpyRating[[#This Row],[CPTY_NAME]],S:S,U:U,"",0)=CtpyRating[[#This Row],[FI_RATING]],CtpyRating[[#This Row],[New Rating]]="Yes"),"No","Yes")</f>
        <v>No</v>
      </c>
      <c r="M5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6" s="30" t="str">
        <f>IF(AND(CtpyRating[[#This Row],[FI_RATING]]&lt;&gt;"",_xlfn.XLOOKUP(CtpyRating[[#This Row],[CPTY_NAME]],S:S,U:U,"",0)=""),"Yes","No")</f>
        <v>No</v>
      </c>
      <c r="O56" s="30"/>
      <c r="Q56">
        <v>7</v>
      </c>
      <c r="R56">
        <v>2026</v>
      </c>
      <c r="S56" t="s">
        <v>91</v>
      </c>
      <c r="T56" t="s">
        <v>306</v>
      </c>
      <c r="U56" t="s">
        <v>31</v>
      </c>
      <c r="V56" s="34"/>
      <c r="W56"/>
      <c r="X56"/>
    </row>
    <row r="57" spans="1:24" x14ac:dyDescent="0.3">
      <c r="A57" t="s">
        <v>91</v>
      </c>
      <c r="B57" t="s">
        <v>306</v>
      </c>
      <c r="C57" t="s">
        <v>71</v>
      </c>
      <c r="D57" t="s">
        <v>31</v>
      </c>
      <c r="E57" s="27"/>
      <c r="G57" s="27"/>
      <c r="I57" s="27"/>
      <c r="L57" s="30" t="str">
        <f>IF(OR(CtpyRating[[#This Row],[FI_RATING]]="",_xlfn.XLOOKUP(CtpyRating[[#This Row],[CPTY_NAME]],S:S,U:U,"",0)=CtpyRating[[#This Row],[FI_RATING]],CtpyRating[[#This Row],[New Rating]]="Yes"),"No","Yes")</f>
        <v>No</v>
      </c>
      <c r="M5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7" s="30" t="str">
        <f>IF(AND(CtpyRating[[#This Row],[FI_RATING]]&lt;&gt;"",_xlfn.XLOOKUP(CtpyRating[[#This Row],[CPTY_NAME]],S:S,U:U,"",0)=""),"Yes","No")</f>
        <v>No</v>
      </c>
      <c r="O57" s="30"/>
      <c r="Q57">
        <v>7</v>
      </c>
      <c r="R57">
        <v>2026</v>
      </c>
      <c r="S57" t="s">
        <v>92</v>
      </c>
      <c r="T57" t="s">
        <v>307</v>
      </c>
      <c r="U57" t="s">
        <v>31</v>
      </c>
      <c r="V57" s="34"/>
      <c r="W57"/>
      <c r="X57"/>
    </row>
    <row r="58" spans="1:24" x14ac:dyDescent="0.3">
      <c r="A58" t="s">
        <v>92</v>
      </c>
      <c r="B58" t="s">
        <v>307</v>
      </c>
      <c r="C58" t="s">
        <v>71</v>
      </c>
      <c r="D58" t="s">
        <v>31</v>
      </c>
      <c r="E58" s="27"/>
      <c r="G58" s="27"/>
      <c r="I58" s="27"/>
      <c r="L58" s="30" t="str">
        <f>IF(OR(CtpyRating[[#This Row],[FI_RATING]]="",_xlfn.XLOOKUP(CtpyRating[[#This Row],[CPTY_NAME]],S:S,U:U,"",0)=CtpyRating[[#This Row],[FI_RATING]],CtpyRating[[#This Row],[New Rating]]="Yes"),"No","Yes")</f>
        <v>No</v>
      </c>
      <c r="M5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8" s="30" t="str">
        <f>IF(AND(CtpyRating[[#This Row],[FI_RATING]]&lt;&gt;"",_xlfn.XLOOKUP(CtpyRating[[#This Row],[CPTY_NAME]],S:S,U:U,"",0)=""),"Yes","No")</f>
        <v>No</v>
      </c>
      <c r="O58" s="30"/>
      <c r="Q58">
        <v>7</v>
      </c>
      <c r="R58">
        <v>2026</v>
      </c>
      <c r="S58" t="s">
        <v>93</v>
      </c>
      <c r="T58" t="s">
        <v>308</v>
      </c>
      <c r="U58" t="s">
        <v>73</v>
      </c>
      <c r="V58" s="34"/>
      <c r="W58"/>
      <c r="X58"/>
    </row>
    <row r="59" spans="1:24" x14ac:dyDescent="0.3">
      <c r="A59" t="s">
        <v>93</v>
      </c>
      <c r="B59" t="s">
        <v>308</v>
      </c>
      <c r="C59" t="s">
        <v>71</v>
      </c>
      <c r="D59" t="s">
        <v>73</v>
      </c>
      <c r="E59" s="27"/>
      <c r="G59" s="27"/>
      <c r="I59" s="27"/>
      <c r="L59" s="30" t="str">
        <f>IF(OR(CtpyRating[[#This Row],[FI_RATING]]="",_xlfn.XLOOKUP(CtpyRating[[#This Row],[CPTY_NAME]],S:S,U:U,"",0)=CtpyRating[[#This Row],[FI_RATING]],CtpyRating[[#This Row],[New Rating]]="Yes"),"No","Yes")</f>
        <v>No</v>
      </c>
      <c r="M5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59" s="30" t="str">
        <f>IF(AND(CtpyRating[[#This Row],[FI_RATING]]&lt;&gt;"",_xlfn.XLOOKUP(CtpyRating[[#This Row],[CPTY_NAME]],S:S,U:U,"",0)=""),"Yes","No")</f>
        <v>No</v>
      </c>
      <c r="O59" s="30"/>
      <c r="Q59">
        <v>7</v>
      </c>
      <c r="R59">
        <v>2026</v>
      </c>
      <c r="S59" t="s">
        <v>94</v>
      </c>
      <c r="T59" t="s">
        <v>309</v>
      </c>
      <c r="U59" t="s">
        <v>31</v>
      </c>
      <c r="V59" s="34"/>
      <c r="W59"/>
      <c r="X59"/>
    </row>
    <row r="60" spans="1:24" x14ac:dyDescent="0.3">
      <c r="A60" t="s">
        <v>94</v>
      </c>
      <c r="B60" t="s">
        <v>309</v>
      </c>
      <c r="C60" t="s">
        <v>71</v>
      </c>
      <c r="D60" t="s">
        <v>31</v>
      </c>
      <c r="E60" s="27"/>
      <c r="G60" s="27"/>
      <c r="I60" s="27"/>
      <c r="L60" s="30" t="str">
        <f>IF(OR(CtpyRating[[#This Row],[FI_RATING]]="",_xlfn.XLOOKUP(CtpyRating[[#This Row],[CPTY_NAME]],S:S,U:U,"",0)=CtpyRating[[#This Row],[FI_RATING]],CtpyRating[[#This Row],[New Rating]]="Yes"),"No","Yes")</f>
        <v>No</v>
      </c>
      <c r="M6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0" s="30" t="str">
        <f>IF(AND(CtpyRating[[#This Row],[FI_RATING]]&lt;&gt;"",_xlfn.XLOOKUP(CtpyRating[[#This Row],[CPTY_NAME]],S:S,U:U,"",0)=""),"Yes","No")</f>
        <v>No</v>
      </c>
      <c r="O60" s="30"/>
      <c r="Q60">
        <v>7</v>
      </c>
      <c r="R60">
        <v>2026</v>
      </c>
      <c r="S60" t="s">
        <v>95</v>
      </c>
      <c r="T60" t="s">
        <v>310</v>
      </c>
      <c r="U60" t="s">
        <v>31</v>
      </c>
      <c r="V60" s="34"/>
      <c r="W60"/>
      <c r="X60"/>
    </row>
    <row r="61" spans="1:24" x14ac:dyDescent="0.3">
      <c r="A61" t="s">
        <v>95</v>
      </c>
      <c r="B61" t="s">
        <v>310</v>
      </c>
      <c r="C61" t="s">
        <v>71</v>
      </c>
      <c r="D61" t="s">
        <v>31</v>
      </c>
      <c r="E61" s="27"/>
      <c r="G61" s="27"/>
      <c r="I61" s="27"/>
      <c r="L61" s="30" t="str">
        <f>IF(OR(CtpyRating[[#This Row],[FI_RATING]]="",_xlfn.XLOOKUP(CtpyRating[[#This Row],[CPTY_NAME]],S:S,U:U,"",0)=CtpyRating[[#This Row],[FI_RATING]],CtpyRating[[#This Row],[New Rating]]="Yes"),"No","Yes")</f>
        <v>No</v>
      </c>
      <c r="M6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1" s="30" t="str">
        <f>IF(AND(CtpyRating[[#This Row],[FI_RATING]]&lt;&gt;"",_xlfn.XLOOKUP(CtpyRating[[#This Row],[CPTY_NAME]],S:S,U:U,"",0)=""),"Yes","No")</f>
        <v>No</v>
      </c>
      <c r="O61" s="30"/>
      <c r="Q61">
        <v>7</v>
      </c>
      <c r="R61">
        <v>2026</v>
      </c>
      <c r="S61" t="s">
        <v>96</v>
      </c>
      <c r="T61" t="s">
        <v>311</v>
      </c>
      <c r="U61" t="s">
        <v>31</v>
      </c>
      <c r="V61" s="34"/>
      <c r="W61"/>
      <c r="X61"/>
    </row>
    <row r="62" spans="1:24" x14ac:dyDescent="0.3">
      <c r="A62" t="s">
        <v>96</v>
      </c>
      <c r="B62" t="s">
        <v>311</v>
      </c>
      <c r="C62" t="s">
        <v>71</v>
      </c>
      <c r="D62" t="s">
        <v>31</v>
      </c>
      <c r="E62" s="27"/>
      <c r="G62" s="27"/>
      <c r="I62" s="27"/>
      <c r="L62" s="30" t="str">
        <f>IF(OR(CtpyRating[[#This Row],[FI_RATING]]="",_xlfn.XLOOKUP(CtpyRating[[#This Row],[CPTY_NAME]],S:S,U:U,"",0)=CtpyRating[[#This Row],[FI_RATING]],CtpyRating[[#This Row],[New Rating]]="Yes"),"No","Yes")</f>
        <v>No</v>
      </c>
      <c r="M6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2" s="30" t="str">
        <f>IF(AND(CtpyRating[[#This Row],[FI_RATING]]&lt;&gt;"",_xlfn.XLOOKUP(CtpyRating[[#This Row],[CPTY_NAME]],S:S,U:U,"",0)=""),"Yes","No")</f>
        <v>No</v>
      </c>
      <c r="O62" s="30"/>
      <c r="Q62">
        <v>7</v>
      </c>
      <c r="R62">
        <v>2026</v>
      </c>
      <c r="S62" t="s">
        <v>97</v>
      </c>
      <c r="T62" t="s">
        <v>312</v>
      </c>
      <c r="U62" t="s">
        <v>20</v>
      </c>
      <c r="V62" s="34"/>
      <c r="W62"/>
      <c r="X62"/>
    </row>
    <row r="63" spans="1:24" x14ac:dyDescent="0.3">
      <c r="A63" t="s">
        <v>97</v>
      </c>
      <c r="B63" t="s">
        <v>312</v>
      </c>
      <c r="C63" t="s">
        <v>98</v>
      </c>
      <c r="D63" t="s">
        <v>20</v>
      </c>
      <c r="E63" s="27"/>
      <c r="G63" s="27"/>
      <c r="I63" s="27"/>
      <c r="L63" s="30" t="str">
        <f>IF(OR(CtpyRating[[#This Row],[FI_RATING]]="",_xlfn.XLOOKUP(CtpyRating[[#This Row],[CPTY_NAME]],S:S,U:U,"",0)=CtpyRating[[#This Row],[FI_RATING]],CtpyRating[[#This Row],[New Rating]]="Yes"),"No","Yes")</f>
        <v>No</v>
      </c>
      <c r="M6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3" s="30" t="str">
        <f>IF(AND(CtpyRating[[#This Row],[FI_RATING]]&lt;&gt;"",_xlfn.XLOOKUP(CtpyRating[[#This Row],[CPTY_NAME]],S:S,U:U,"",0)=""),"Yes","No")</f>
        <v>No</v>
      </c>
      <c r="O63" s="30"/>
      <c r="Q63">
        <v>7</v>
      </c>
      <c r="R63">
        <v>2026</v>
      </c>
      <c r="S63" t="s">
        <v>99</v>
      </c>
      <c r="T63" t="s">
        <v>313</v>
      </c>
      <c r="U63" t="s">
        <v>33</v>
      </c>
      <c r="V63" s="34">
        <v>45930</v>
      </c>
      <c r="W63"/>
      <c r="X63"/>
    </row>
    <row r="64" spans="1:24" x14ac:dyDescent="0.3">
      <c r="A64" t="s">
        <v>99</v>
      </c>
      <c r="B64" t="s">
        <v>313</v>
      </c>
      <c r="C64" t="s">
        <v>100</v>
      </c>
      <c r="D64" t="s">
        <v>33</v>
      </c>
      <c r="E64" s="27">
        <v>45930</v>
      </c>
      <c r="G64" s="27"/>
      <c r="I64" s="27"/>
      <c r="L64" s="30" t="str">
        <f>IF(OR(CtpyRating[[#This Row],[FI_RATING]]="",_xlfn.XLOOKUP(CtpyRating[[#This Row],[CPTY_NAME]],S:S,U:U,"",0)=CtpyRating[[#This Row],[FI_RATING]],CtpyRating[[#This Row],[New Rating]]="Yes"),"No","Yes")</f>
        <v>No</v>
      </c>
      <c r="M6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4" s="30" t="str">
        <f>IF(AND(CtpyRating[[#This Row],[FI_RATING]]&lt;&gt;"",_xlfn.XLOOKUP(CtpyRating[[#This Row],[CPTY_NAME]],S:S,U:U,"",0)=""),"Yes","No")</f>
        <v>No</v>
      </c>
      <c r="O64" s="30"/>
      <c r="Q64">
        <v>7</v>
      </c>
      <c r="R64">
        <v>2026</v>
      </c>
      <c r="S64" t="s">
        <v>101</v>
      </c>
      <c r="T64" t="s">
        <v>314</v>
      </c>
      <c r="U64" t="s">
        <v>20</v>
      </c>
      <c r="V64" s="34">
        <v>46174</v>
      </c>
      <c r="W64"/>
      <c r="X64"/>
    </row>
    <row r="65" spans="1:24" x14ac:dyDescent="0.3">
      <c r="A65" t="s">
        <v>101</v>
      </c>
      <c r="B65" t="s">
        <v>314</v>
      </c>
      <c r="C65" t="s">
        <v>100</v>
      </c>
      <c r="D65" t="s">
        <v>20</v>
      </c>
      <c r="E65" s="27">
        <v>46174</v>
      </c>
      <c r="G65" s="27"/>
      <c r="I65" s="27"/>
      <c r="L65" s="30" t="str">
        <f>IF(OR(CtpyRating[[#This Row],[FI_RATING]]="",_xlfn.XLOOKUP(CtpyRating[[#This Row],[CPTY_NAME]],S:S,U:U,"",0)=CtpyRating[[#This Row],[FI_RATING]],CtpyRating[[#This Row],[New Rating]]="Yes"),"No","Yes")</f>
        <v>No</v>
      </c>
      <c r="M6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5" s="30" t="str">
        <f>IF(AND(CtpyRating[[#This Row],[FI_RATING]]&lt;&gt;"",_xlfn.XLOOKUP(CtpyRating[[#This Row],[CPTY_NAME]],S:S,U:U,"",0)=""),"Yes","No")</f>
        <v>No</v>
      </c>
      <c r="O65" s="30"/>
      <c r="Q65">
        <v>7</v>
      </c>
      <c r="R65">
        <v>2026</v>
      </c>
      <c r="S65" t="s">
        <v>102</v>
      </c>
      <c r="T65" t="s">
        <v>315</v>
      </c>
      <c r="U65" t="s">
        <v>248</v>
      </c>
      <c r="V65" s="34"/>
      <c r="W65"/>
      <c r="X65"/>
    </row>
    <row r="66" spans="1:24" x14ac:dyDescent="0.3">
      <c r="A66" t="s">
        <v>102</v>
      </c>
      <c r="B66" t="s">
        <v>315</v>
      </c>
      <c r="C66" t="s">
        <v>100</v>
      </c>
      <c r="E66" s="27"/>
      <c r="G66" s="27"/>
      <c r="I66" s="27"/>
      <c r="L66" s="30" t="str">
        <f>IF(OR(CtpyRating[[#This Row],[FI_RATING]]="",_xlfn.XLOOKUP(CtpyRating[[#This Row],[CPTY_NAME]],S:S,U:U,"",0)=CtpyRating[[#This Row],[FI_RATING]],CtpyRating[[#This Row],[New Rating]]="Yes"),"No","Yes")</f>
        <v>No</v>
      </c>
      <c r="M6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6" s="30" t="str">
        <f>IF(AND(CtpyRating[[#This Row],[FI_RATING]]&lt;&gt;"",_xlfn.XLOOKUP(CtpyRating[[#This Row],[CPTY_NAME]],S:S,U:U,"",0)=""),"Yes","No")</f>
        <v>No</v>
      </c>
      <c r="O66" s="30"/>
      <c r="Q66">
        <v>7</v>
      </c>
      <c r="R66">
        <v>2026</v>
      </c>
      <c r="S66" t="s">
        <v>103</v>
      </c>
      <c r="T66" t="s">
        <v>316</v>
      </c>
      <c r="U66" t="s">
        <v>20</v>
      </c>
      <c r="V66" s="34">
        <v>46192</v>
      </c>
      <c r="W66"/>
      <c r="X66"/>
    </row>
    <row r="67" spans="1:24" x14ac:dyDescent="0.3">
      <c r="A67" t="s">
        <v>103</v>
      </c>
      <c r="B67" t="s">
        <v>316</v>
      </c>
      <c r="C67" t="s">
        <v>100</v>
      </c>
      <c r="D67" t="s">
        <v>20</v>
      </c>
      <c r="E67" s="27">
        <v>46192</v>
      </c>
      <c r="G67" s="27"/>
      <c r="I67" s="27"/>
      <c r="L67" s="30" t="str">
        <f>IF(OR(CtpyRating[[#This Row],[FI_RATING]]="",_xlfn.XLOOKUP(CtpyRating[[#This Row],[CPTY_NAME]],S:S,U:U,"",0)=CtpyRating[[#This Row],[FI_RATING]],CtpyRating[[#This Row],[New Rating]]="Yes"),"No","Yes")</f>
        <v>No</v>
      </c>
      <c r="M6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7" s="30" t="str">
        <f>IF(AND(CtpyRating[[#This Row],[FI_RATING]]&lt;&gt;"",_xlfn.XLOOKUP(CtpyRating[[#This Row],[CPTY_NAME]],S:S,U:U,"",0)=""),"Yes","No")</f>
        <v>No</v>
      </c>
      <c r="O67" s="30"/>
      <c r="Q67">
        <v>7</v>
      </c>
      <c r="R67">
        <v>2026</v>
      </c>
      <c r="S67" t="s">
        <v>104</v>
      </c>
      <c r="T67" t="s">
        <v>317</v>
      </c>
      <c r="U67" t="s">
        <v>20</v>
      </c>
      <c r="V67" s="34">
        <v>46150</v>
      </c>
      <c r="W67"/>
      <c r="X67"/>
    </row>
    <row r="68" spans="1:24" x14ac:dyDescent="0.3">
      <c r="A68" t="s">
        <v>104</v>
      </c>
      <c r="B68" t="s">
        <v>317</v>
      </c>
      <c r="C68" t="s">
        <v>100</v>
      </c>
      <c r="D68" t="s">
        <v>20</v>
      </c>
      <c r="E68" s="27">
        <v>46150</v>
      </c>
      <c r="G68" s="27"/>
      <c r="I68" s="27"/>
      <c r="L68" s="30" t="str">
        <f>IF(OR(CtpyRating[[#This Row],[FI_RATING]]="",_xlfn.XLOOKUP(CtpyRating[[#This Row],[CPTY_NAME]],S:S,U:U,"",0)=CtpyRating[[#This Row],[FI_RATING]],CtpyRating[[#This Row],[New Rating]]="Yes"),"No","Yes")</f>
        <v>No</v>
      </c>
      <c r="M6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8" s="30" t="str">
        <f>IF(AND(CtpyRating[[#This Row],[FI_RATING]]&lt;&gt;"",_xlfn.XLOOKUP(CtpyRating[[#This Row],[CPTY_NAME]],S:S,U:U,"",0)=""),"Yes","No")</f>
        <v>No</v>
      </c>
      <c r="O68" s="30"/>
      <c r="Q68">
        <v>7</v>
      </c>
      <c r="R68">
        <v>2026</v>
      </c>
      <c r="S68" t="s">
        <v>105</v>
      </c>
      <c r="T68" t="s">
        <v>318</v>
      </c>
      <c r="U68" t="s">
        <v>33</v>
      </c>
      <c r="V68" s="34">
        <v>45922</v>
      </c>
      <c r="W68"/>
      <c r="X68"/>
    </row>
    <row r="69" spans="1:24" x14ac:dyDescent="0.3">
      <c r="A69" t="s">
        <v>105</v>
      </c>
      <c r="B69" t="s">
        <v>318</v>
      </c>
      <c r="C69" t="s">
        <v>100</v>
      </c>
      <c r="D69" t="s">
        <v>33</v>
      </c>
      <c r="E69" s="27">
        <v>45922</v>
      </c>
      <c r="G69" s="27"/>
      <c r="I69" s="27"/>
      <c r="L69" s="30" t="str">
        <f>IF(OR(CtpyRating[[#This Row],[FI_RATING]]="",_xlfn.XLOOKUP(CtpyRating[[#This Row],[CPTY_NAME]],S:S,U:U,"",0)=CtpyRating[[#This Row],[FI_RATING]],CtpyRating[[#This Row],[New Rating]]="Yes"),"No","Yes")</f>
        <v>No</v>
      </c>
      <c r="M6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69" s="30" t="str">
        <f>IF(AND(CtpyRating[[#This Row],[FI_RATING]]&lt;&gt;"",_xlfn.XLOOKUP(CtpyRating[[#This Row],[CPTY_NAME]],S:S,U:U,"",0)=""),"Yes","No")</f>
        <v>No</v>
      </c>
      <c r="O69" s="30"/>
      <c r="Q69">
        <v>7</v>
      </c>
      <c r="R69">
        <v>2026</v>
      </c>
      <c r="S69" t="s">
        <v>106</v>
      </c>
      <c r="T69" t="s">
        <v>319</v>
      </c>
      <c r="U69" t="s">
        <v>20</v>
      </c>
      <c r="V69" s="34">
        <v>45460</v>
      </c>
      <c r="W69"/>
      <c r="X69"/>
    </row>
    <row r="70" spans="1:24" x14ac:dyDescent="0.3">
      <c r="A70" t="s">
        <v>106</v>
      </c>
      <c r="B70" t="s">
        <v>319</v>
      </c>
      <c r="C70" t="s">
        <v>100</v>
      </c>
      <c r="D70" t="s">
        <v>20</v>
      </c>
      <c r="E70" s="27">
        <v>45460</v>
      </c>
      <c r="G70" s="27"/>
      <c r="I70" s="27"/>
      <c r="L70" s="30" t="str">
        <f>IF(OR(CtpyRating[[#This Row],[FI_RATING]]="",_xlfn.XLOOKUP(CtpyRating[[#This Row],[CPTY_NAME]],S:S,U:U,"",0)=CtpyRating[[#This Row],[FI_RATING]],CtpyRating[[#This Row],[New Rating]]="Yes"),"No","Yes")</f>
        <v>No</v>
      </c>
      <c r="M7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0" s="30" t="str">
        <f>IF(AND(CtpyRating[[#This Row],[FI_RATING]]&lt;&gt;"",_xlfn.XLOOKUP(CtpyRating[[#This Row],[CPTY_NAME]],S:S,U:U,"",0)=""),"Yes","No")</f>
        <v>No</v>
      </c>
      <c r="O70" s="30"/>
      <c r="Q70">
        <v>7</v>
      </c>
      <c r="R70">
        <v>2026</v>
      </c>
      <c r="S70" t="s">
        <v>107</v>
      </c>
      <c r="T70" t="s">
        <v>320</v>
      </c>
      <c r="U70" t="s">
        <v>33</v>
      </c>
      <c r="V70" s="34"/>
      <c r="W70"/>
      <c r="X70"/>
    </row>
    <row r="71" spans="1:24" x14ac:dyDescent="0.3">
      <c r="A71" t="s">
        <v>107</v>
      </c>
      <c r="B71" t="s">
        <v>320</v>
      </c>
      <c r="C71" t="s">
        <v>100</v>
      </c>
      <c r="D71" t="s">
        <v>33</v>
      </c>
      <c r="E71" s="27"/>
      <c r="G71" s="27"/>
      <c r="I71" s="27"/>
      <c r="L71" s="30" t="str">
        <f>IF(OR(CtpyRating[[#This Row],[FI_RATING]]="",_xlfn.XLOOKUP(CtpyRating[[#This Row],[CPTY_NAME]],S:S,U:U,"",0)=CtpyRating[[#This Row],[FI_RATING]],CtpyRating[[#This Row],[New Rating]]="Yes"),"No","Yes")</f>
        <v>No</v>
      </c>
      <c r="M7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1" s="30" t="str">
        <f>IF(AND(CtpyRating[[#This Row],[FI_RATING]]&lt;&gt;"",_xlfn.XLOOKUP(CtpyRating[[#This Row],[CPTY_NAME]],S:S,U:U,"",0)=""),"Yes","No")</f>
        <v>No</v>
      </c>
      <c r="O71" s="30"/>
      <c r="Q71">
        <v>7</v>
      </c>
      <c r="R71">
        <v>2026</v>
      </c>
      <c r="S71" t="s">
        <v>108</v>
      </c>
      <c r="T71" t="s">
        <v>321</v>
      </c>
      <c r="U71" t="s">
        <v>20</v>
      </c>
      <c r="V71" s="34">
        <v>45940</v>
      </c>
      <c r="W71"/>
      <c r="X71"/>
    </row>
    <row r="72" spans="1:24" x14ac:dyDescent="0.3">
      <c r="A72" t="s">
        <v>108</v>
      </c>
      <c r="B72" t="s">
        <v>321</v>
      </c>
      <c r="C72" t="s">
        <v>100</v>
      </c>
      <c r="D72" t="s">
        <v>20</v>
      </c>
      <c r="E72" s="27">
        <v>45940</v>
      </c>
      <c r="G72" s="27"/>
      <c r="I72" s="27"/>
      <c r="L72" s="30" t="str">
        <f>IF(OR(CtpyRating[[#This Row],[FI_RATING]]="",_xlfn.XLOOKUP(CtpyRating[[#This Row],[CPTY_NAME]],S:S,U:U,"",0)=CtpyRating[[#This Row],[FI_RATING]],CtpyRating[[#This Row],[New Rating]]="Yes"),"No","Yes")</f>
        <v>No</v>
      </c>
      <c r="M7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2" s="30" t="str">
        <f>IF(AND(CtpyRating[[#This Row],[FI_RATING]]&lt;&gt;"",_xlfn.XLOOKUP(CtpyRating[[#This Row],[CPTY_NAME]],S:S,U:U,"",0)=""),"Yes","No")</f>
        <v>No</v>
      </c>
      <c r="O72" s="30"/>
      <c r="Q72">
        <v>7</v>
      </c>
      <c r="R72">
        <v>2026</v>
      </c>
      <c r="S72" t="s">
        <v>109</v>
      </c>
      <c r="T72" t="s">
        <v>322</v>
      </c>
      <c r="U72" t="s">
        <v>20</v>
      </c>
      <c r="V72" s="34"/>
      <c r="W72"/>
      <c r="X72"/>
    </row>
    <row r="73" spans="1:24" x14ac:dyDescent="0.3">
      <c r="A73" t="s">
        <v>109</v>
      </c>
      <c r="B73" t="s">
        <v>322</v>
      </c>
      <c r="C73" t="s">
        <v>100</v>
      </c>
      <c r="D73" t="s">
        <v>20</v>
      </c>
      <c r="E73" s="27"/>
      <c r="G73" s="27"/>
      <c r="I73" s="27"/>
      <c r="L73" s="30" t="str">
        <f>IF(OR(CtpyRating[[#This Row],[FI_RATING]]="",_xlfn.XLOOKUP(CtpyRating[[#This Row],[CPTY_NAME]],S:S,U:U,"",0)=CtpyRating[[#This Row],[FI_RATING]],CtpyRating[[#This Row],[New Rating]]="Yes"),"No","Yes")</f>
        <v>No</v>
      </c>
      <c r="M7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3" s="30" t="str">
        <f>IF(AND(CtpyRating[[#This Row],[FI_RATING]]&lt;&gt;"",_xlfn.XLOOKUP(CtpyRating[[#This Row],[CPTY_NAME]],S:S,U:U,"",0)=""),"Yes","No")</f>
        <v>No</v>
      </c>
      <c r="O73" s="30"/>
      <c r="Q73">
        <v>7</v>
      </c>
      <c r="R73">
        <v>2026</v>
      </c>
      <c r="S73" t="s">
        <v>110</v>
      </c>
      <c r="T73" t="s">
        <v>323</v>
      </c>
      <c r="U73" t="s">
        <v>248</v>
      </c>
      <c r="V73" s="34"/>
      <c r="W73"/>
      <c r="X73"/>
    </row>
    <row r="74" spans="1:24" x14ac:dyDescent="0.3">
      <c r="A74" t="s">
        <v>110</v>
      </c>
      <c r="B74" t="s">
        <v>323</v>
      </c>
      <c r="C74" t="s">
        <v>100</v>
      </c>
      <c r="E74" s="27"/>
      <c r="G74" s="27"/>
      <c r="I74" s="27"/>
      <c r="L74" s="30" t="str">
        <f>IF(OR(CtpyRating[[#This Row],[FI_RATING]]="",_xlfn.XLOOKUP(CtpyRating[[#This Row],[CPTY_NAME]],S:S,U:U,"",0)=CtpyRating[[#This Row],[FI_RATING]],CtpyRating[[#This Row],[New Rating]]="Yes"),"No","Yes")</f>
        <v>No</v>
      </c>
      <c r="M7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4" s="30" t="str">
        <f>IF(AND(CtpyRating[[#This Row],[FI_RATING]]&lt;&gt;"",_xlfn.XLOOKUP(CtpyRating[[#This Row],[CPTY_NAME]],S:S,U:U,"",0)=""),"Yes","No")</f>
        <v>No</v>
      </c>
      <c r="O74" s="30"/>
      <c r="Q74">
        <v>7</v>
      </c>
      <c r="R74">
        <v>2026</v>
      </c>
      <c r="S74" t="s">
        <v>111</v>
      </c>
      <c r="T74" t="s">
        <v>324</v>
      </c>
      <c r="U74" t="s">
        <v>248</v>
      </c>
      <c r="V74" s="34"/>
      <c r="W74"/>
      <c r="X74"/>
    </row>
    <row r="75" spans="1:24" x14ac:dyDescent="0.3">
      <c r="A75" t="s">
        <v>111</v>
      </c>
      <c r="B75" t="s">
        <v>324</v>
      </c>
      <c r="C75" t="s">
        <v>100</v>
      </c>
      <c r="E75" s="27"/>
      <c r="G75" s="27"/>
      <c r="I75" s="27"/>
      <c r="L75" s="30" t="str">
        <f>IF(OR(CtpyRating[[#This Row],[FI_RATING]]="",_xlfn.XLOOKUP(CtpyRating[[#This Row],[CPTY_NAME]],S:S,U:U,"",0)=CtpyRating[[#This Row],[FI_RATING]],CtpyRating[[#This Row],[New Rating]]="Yes"),"No","Yes")</f>
        <v>No</v>
      </c>
      <c r="M7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5" s="30" t="str">
        <f>IF(AND(CtpyRating[[#This Row],[FI_RATING]]&lt;&gt;"",_xlfn.XLOOKUP(CtpyRating[[#This Row],[CPTY_NAME]],S:S,U:U,"",0)=""),"Yes","No")</f>
        <v>No</v>
      </c>
      <c r="O75" s="30"/>
      <c r="Q75">
        <v>7</v>
      </c>
      <c r="R75">
        <v>2026</v>
      </c>
      <c r="S75" t="s">
        <v>112</v>
      </c>
      <c r="T75" t="s">
        <v>325</v>
      </c>
      <c r="U75" t="s">
        <v>52</v>
      </c>
      <c r="V75" s="34"/>
      <c r="W75"/>
      <c r="X75"/>
    </row>
    <row r="76" spans="1:24" x14ac:dyDescent="0.3">
      <c r="A76" t="s">
        <v>112</v>
      </c>
      <c r="B76" t="s">
        <v>325</v>
      </c>
      <c r="C76" t="s">
        <v>98</v>
      </c>
      <c r="D76" t="s">
        <v>52</v>
      </c>
      <c r="E76" s="27"/>
      <c r="G76" s="27"/>
      <c r="I76" s="27"/>
      <c r="L76" s="30" t="str">
        <f>IF(OR(CtpyRating[[#This Row],[FI_RATING]]="",_xlfn.XLOOKUP(CtpyRating[[#This Row],[CPTY_NAME]],S:S,U:U,"",0)=CtpyRating[[#This Row],[FI_RATING]],CtpyRating[[#This Row],[New Rating]]="Yes"),"No","Yes")</f>
        <v>No</v>
      </c>
      <c r="M7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6" s="30" t="str">
        <f>IF(AND(CtpyRating[[#This Row],[FI_RATING]]&lt;&gt;"",_xlfn.XLOOKUP(CtpyRating[[#This Row],[CPTY_NAME]],S:S,U:U,"",0)=""),"Yes","No")</f>
        <v>No</v>
      </c>
      <c r="O76" s="30"/>
      <c r="Q76">
        <v>7</v>
      </c>
      <c r="R76">
        <v>2026</v>
      </c>
      <c r="S76" t="s">
        <v>113</v>
      </c>
      <c r="T76" t="s">
        <v>326</v>
      </c>
      <c r="U76" t="s">
        <v>20</v>
      </c>
      <c r="V76" s="34"/>
      <c r="W76"/>
      <c r="X76"/>
    </row>
    <row r="77" spans="1:24" x14ac:dyDescent="0.3">
      <c r="A77" t="s">
        <v>113</v>
      </c>
      <c r="B77" t="s">
        <v>326</v>
      </c>
      <c r="C77" t="s">
        <v>98</v>
      </c>
      <c r="D77" t="s">
        <v>20</v>
      </c>
      <c r="E77" s="27"/>
      <c r="G77" s="27"/>
      <c r="I77" s="27"/>
      <c r="L77" s="30" t="str">
        <f>IF(OR(CtpyRating[[#This Row],[FI_RATING]]="",_xlfn.XLOOKUP(CtpyRating[[#This Row],[CPTY_NAME]],S:S,U:U,"",0)=CtpyRating[[#This Row],[FI_RATING]],CtpyRating[[#This Row],[New Rating]]="Yes"),"No","Yes")</f>
        <v>No</v>
      </c>
      <c r="M7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7" s="30" t="str">
        <f>IF(AND(CtpyRating[[#This Row],[FI_RATING]]&lt;&gt;"",_xlfn.XLOOKUP(CtpyRating[[#This Row],[CPTY_NAME]],S:S,U:U,"",0)=""),"Yes","No")</f>
        <v>No</v>
      </c>
      <c r="O77" s="30"/>
      <c r="Q77">
        <v>7</v>
      </c>
      <c r="R77">
        <v>2026</v>
      </c>
      <c r="S77" t="s">
        <v>114</v>
      </c>
      <c r="T77" t="s">
        <v>327</v>
      </c>
      <c r="U77" t="s">
        <v>115</v>
      </c>
      <c r="V77" s="34"/>
      <c r="W77"/>
      <c r="X77"/>
    </row>
    <row r="78" spans="1:24" x14ac:dyDescent="0.3">
      <c r="A78" t="s">
        <v>114</v>
      </c>
      <c r="B78" t="s">
        <v>327</v>
      </c>
      <c r="C78" t="s">
        <v>98</v>
      </c>
      <c r="D78" t="s">
        <v>115</v>
      </c>
      <c r="E78" s="27"/>
      <c r="G78" s="27"/>
      <c r="I78" s="27"/>
      <c r="L78" s="30" t="str">
        <f>IF(OR(CtpyRating[[#This Row],[FI_RATING]]="",_xlfn.XLOOKUP(CtpyRating[[#This Row],[CPTY_NAME]],S:S,U:U,"",0)=CtpyRating[[#This Row],[FI_RATING]],CtpyRating[[#This Row],[New Rating]]="Yes"),"No","Yes")</f>
        <v>No</v>
      </c>
      <c r="M7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8" s="30" t="str">
        <f>IF(AND(CtpyRating[[#This Row],[FI_RATING]]&lt;&gt;"",_xlfn.XLOOKUP(CtpyRating[[#This Row],[CPTY_NAME]],S:S,U:U,"",0)=""),"Yes","No")</f>
        <v>No</v>
      </c>
      <c r="O78" s="30"/>
      <c r="Q78">
        <v>7</v>
      </c>
      <c r="R78">
        <v>2026</v>
      </c>
      <c r="S78" t="s">
        <v>116</v>
      </c>
      <c r="T78" t="s">
        <v>328</v>
      </c>
      <c r="U78" t="s">
        <v>20</v>
      </c>
      <c r="V78" s="34">
        <v>45903</v>
      </c>
      <c r="W78"/>
      <c r="X78"/>
    </row>
    <row r="79" spans="1:24" x14ac:dyDescent="0.3">
      <c r="A79" t="s">
        <v>116</v>
      </c>
      <c r="B79" t="s">
        <v>328</v>
      </c>
      <c r="C79" t="s">
        <v>98</v>
      </c>
      <c r="D79" t="s">
        <v>20</v>
      </c>
      <c r="E79" s="27">
        <v>45903</v>
      </c>
      <c r="G79" s="27"/>
      <c r="I79" s="27"/>
      <c r="L79" s="30" t="str">
        <f>IF(OR(CtpyRating[[#This Row],[FI_RATING]]="",_xlfn.XLOOKUP(CtpyRating[[#This Row],[CPTY_NAME]],S:S,U:U,"",0)=CtpyRating[[#This Row],[FI_RATING]],CtpyRating[[#This Row],[New Rating]]="Yes"),"No","Yes")</f>
        <v>No</v>
      </c>
      <c r="M7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79" s="30" t="str">
        <f>IF(AND(CtpyRating[[#This Row],[FI_RATING]]&lt;&gt;"",_xlfn.XLOOKUP(CtpyRating[[#This Row],[CPTY_NAME]],S:S,U:U,"",0)=""),"Yes","No")</f>
        <v>No</v>
      </c>
      <c r="O79" s="30"/>
      <c r="Q79">
        <v>7</v>
      </c>
      <c r="R79">
        <v>2026</v>
      </c>
      <c r="S79" t="s">
        <v>117</v>
      </c>
      <c r="T79" t="s">
        <v>329</v>
      </c>
      <c r="U79" t="s">
        <v>31</v>
      </c>
      <c r="V79" s="34"/>
      <c r="W79"/>
      <c r="X79"/>
    </row>
    <row r="80" spans="1:24" x14ac:dyDescent="0.3">
      <c r="A80" t="s">
        <v>117</v>
      </c>
      <c r="B80" t="s">
        <v>329</v>
      </c>
      <c r="C80" t="s">
        <v>98</v>
      </c>
      <c r="D80" t="s">
        <v>31</v>
      </c>
      <c r="E80" s="27"/>
      <c r="G80" s="27"/>
      <c r="I80" s="27"/>
      <c r="L80" s="30" t="str">
        <f>IF(OR(CtpyRating[[#This Row],[FI_RATING]]="",_xlfn.XLOOKUP(CtpyRating[[#This Row],[CPTY_NAME]],S:S,U:U,"",0)=CtpyRating[[#This Row],[FI_RATING]],CtpyRating[[#This Row],[New Rating]]="Yes"),"No","Yes")</f>
        <v>No</v>
      </c>
      <c r="M8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0" s="30" t="str">
        <f>IF(AND(CtpyRating[[#This Row],[FI_RATING]]&lt;&gt;"",_xlfn.XLOOKUP(CtpyRating[[#This Row],[CPTY_NAME]],S:S,U:U,"",0)=""),"Yes","No")</f>
        <v>No</v>
      </c>
      <c r="O80" s="30"/>
      <c r="Q80">
        <v>7</v>
      </c>
      <c r="R80">
        <v>2026</v>
      </c>
      <c r="S80" t="s">
        <v>118</v>
      </c>
      <c r="T80" t="s">
        <v>330</v>
      </c>
      <c r="U80" t="s">
        <v>31</v>
      </c>
      <c r="V80" s="34"/>
      <c r="W80"/>
      <c r="X80"/>
    </row>
    <row r="81" spans="1:24" x14ac:dyDescent="0.3">
      <c r="A81" t="s">
        <v>118</v>
      </c>
      <c r="B81" t="s">
        <v>330</v>
      </c>
      <c r="C81" t="s">
        <v>98</v>
      </c>
      <c r="D81" t="s">
        <v>31</v>
      </c>
      <c r="E81" s="27"/>
      <c r="G81" s="27"/>
      <c r="I81" s="27"/>
      <c r="L81" s="30" t="str">
        <f>IF(OR(CtpyRating[[#This Row],[FI_RATING]]="",_xlfn.XLOOKUP(CtpyRating[[#This Row],[CPTY_NAME]],S:S,U:U,"",0)=CtpyRating[[#This Row],[FI_RATING]],CtpyRating[[#This Row],[New Rating]]="Yes"),"No","Yes")</f>
        <v>No</v>
      </c>
      <c r="M8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1" s="30" t="str">
        <f>IF(AND(CtpyRating[[#This Row],[FI_RATING]]&lt;&gt;"",_xlfn.XLOOKUP(CtpyRating[[#This Row],[CPTY_NAME]],S:S,U:U,"",0)=""),"Yes","No")</f>
        <v>No</v>
      </c>
      <c r="O81" s="30"/>
      <c r="Q81">
        <v>7</v>
      </c>
      <c r="R81">
        <v>2026</v>
      </c>
      <c r="S81" t="s">
        <v>119</v>
      </c>
      <c r="T81" t="s">
        <v>331</v>
      </c>
      <c r="U81" t="s">
        <v>52</v>
      </c>
      <c r="V81" s="34"/>
      <c r="W81"/>
      <c r="X81"/>
    </row>
    <row r="82" spans="1:24" x14ac:dyDescent="0.3">
      <c r="A82" t="s">
        <v>119</v>
      </c>
      <c r="B82" t="s">
        <v>331</v>
      </c>
      <c r="C82" t="s">
        <v>98</v>
      </c>
      <c r="D82" t="s">
        <v>52</v>
      </c>
      <c r="E82" s="27"/>
      <c r="G82" s="27"/>
      <c r="I82" s="27"/>
      <c r="L82" s="30" t="str">
        <f>IF(OR(CtpyRating[[#This Row],[FI_RATING]]="",_xlfn.XLOOKUP(CtpyRating[[#This Row],[CPTY_NAME]],S:S,U:U,"",0)=CtpyRating[[#This Row],[FI_RATING]],CtpyRating[[#This Row],[New Rating]]="Yes"),"No","Yes")</f>
        <v>No</v>
      </c>
      <c r="M8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2" s="30" t="str">
        <f>IF(AND(CtpyRating[[#This Row],[FI_RATING]]&lt;&gt;"",_xlfn.XLOOKUP(CtpyRating[[#This Row],[CPTY_NAME]],S:S,U:U,"",0)=""),"Yes","No")</f>
        <v>No</v>
      </c>
      <c r="O82" s="30"/>
      <c r="Q82">
        <v>7</v>
      </c>
      <c r="R82">
        <v>2026</v>
      </c>
      <c r="S82" t="s">
        <v>120</v>
      </c>
      <c r="T82" t="s">
        <v>332</v>
      </c>
      <c r="U82" t="s">
        <v>31</v>
      </c>
      <c r="V82" s="34"/>
      <c r="W82"/>
      <c r="X82"/>
    </row>
    <row r="83" spans="1:24" x14ac:dyDescent="0.3">
      <c r="A83" t="s">
        <v>120</v>
      </c>
      <c r="B83" t="s">
        <v>332</v>
      </c>
      <c r="C83" t="s">
        <v>98</v>
      </c>
      <c r="D83" t="s">
        <v>31</v>
      </c>
      <c r="E83" s="27"/>
      <c r="G83" s="27"/>
      <c r="I83" s="27"/>
      <c r="L83" s="30" t="str">
        <f>IF(OR(CtpyRating[[#This Row],[FI_RATING]]="",_xlfn.XLOOKUP(CtpyRating[[#This Row],[CPTY_NAME]],S:S,U:U,"",0)=CtpyRating[[#This Row],[FI_RATING]],CtpyRating[[#This Row],[New Rating]]="Yes"),"No","Yes")</f>
        <v>No</v>
      </c>
      <c r="M8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3" s="30" t="str">
        <f>IF(AND(CtpyRating[[#This Row],[FI_RATING]]&lt;&gt;"",_xlfn.XLOOKUP(CtpyRating[[#This Row],[CPTY_NAME]],S:S,U:U,"",0)=""),"Yes","No")</f>
        <v>No</v>
      </c>
      <c r="O83" s="30"/>
      <c r="Q83">
        <v>7</v>
      </c>
      <c r="R83">
        <v>2026</v>
      </c>
      <c r="S83" t="s">
        <v>121</v>
      </c>
      <c r="T83" t="s">
        <v>333</v>
      </c>
      <c r="U83" t="s">
        <v>65</v>
      </c>
      <c r="V83" s="34"/>
      <c r="W83"/>
      <c r="X83"/>
    </row>
    <row r="84" spans="1:24" x14ac:dyDescent="0.3">
      <c r="A84" t="s">
        <v>121</v>
      </c>
      <c r="B84" t="s">
        <v>333</v>
      </c>
      <c r="C84" t="s">
        <v>98</v>
      </c>
      <c r="D84" t="s">
        <v>65</v>
      </c>
      <c r="E84" s="27"/>
      <c r="G84" s="27"/>
      <c r="I84" s="27"/>
      <c r="L84" s="30" t="str">
        <f>IF(OR(CtpyRating[[#This Row],[FI_RATING]]="",_xlfn.XLOOKUP(CtpyRating[[#This Row],[CPTY_NAME]],S:S,U:U,"",0)=CtpyRating[[#This Row],[FI_RATING]],CtpyRating[[#This Row],[New Rating]]="Yes"),"No","Yes")</f>
        <v>No</v>
      </c>
      <c r="M8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4" s="30" t="str">
        <f>IF(AND(CtpyRating[[#This Row],[FI_RATING]]&lt;&gt;"",_xlfn.XLOOKUP(CtpyRating[[#This Row],[CPTY_NAME]],S:S,U:U,"",0)=""),"Yes","No")</f>
        <v>No</v>
      </c>
      <c r="O84" s="30"/>
      <c r="Q84">
        <v>7</v>
      </c>
      <c r="R84">
        <v>2026</v>
      </c>
      <c r="S84" t="s">
        <v>122</v>
      </c>
      <c r="T84" t="s">
        <v>334</v>
      </c>
      <c r="U84" t="s">
        <v>33</v>
      </c>
      <c r="V84" s="34">
        <v>44503</v>
      </c>
      <c r="W84"/>
      <c r="X84"/>
    </row>
    <row r="85" spans="1:24" x14ac:dyDescent="0.3">
      <c r="A85" t="s">
        <v>122</v>
      </c>
      <c r="B85" t="s">
        <v>334</v>
      </c>
      <c r="C85" t="s">
        <v>98</v>
      </c>
      <c r="D85" t="s">
        <v>33</v>
      </c>
      <c r="E85" s="27">
        <v>44503</v>
      </c>
      <c r="G85" s="27"/>
      <c r="I85" s="27"/>
      <c r="L85" s="30" t="str">
        <f>IF(OR(CtpyRating[[#This Row],[FI_RATING]]="",_xlfn.XLOOKUP(CtpyRating[[#This Row],[CPTY_NAME]],S:S,U:U,"",0)=CtpyRating[[#This Row],[FI_RATING]],CtpyRating[[#This Row],[New Rating]]="Yes"),"No","Yes")</f>
        <v>No</v>
      </c>
      <c r="M8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5" s="30" t="str">
        <f>IF(AND(CtpyRating[[#This Row],[FI_RATING]]&lt;&gt;"",_xlfn.XLOOKUP(CtpyRating[[#This Row],[CPTY_NAME]],S:S,U:U,"",0)=""),"Yes","No")</f>
        <v>No</v>
      </c>
      <c r="O85" s="30"/>
      <c r="Q85">
        <v>7</v>
      </c>
      <c r="R85">
        <v>2026</v>
      </c>
      <c r="S85" t="s">
        <v>123</v>
      </c>
      <c r="T85" t="s">
        <v>335</v>
      </c>
      <c r="U85" t="s">
        <v>52</v>
      </c>
      <c r="V85" s="34"/>
      <c r="W85"/>
      <c r="X85"/>
    </row>
    <row r="86" spans="1:24" x14ac:dyDescent="0.3">
      <c r="A86" t="s">
        <v>123</v>
      </c>
      <c r="B86" t="s">
        <v>335</v>
      </c>
      <c r="C86" t="s">
        <v>98</v>
      </c>
      <c r="D86" t="s">
        <v>52</v>
      </c>
      <c r="E86" s="27"/>
      <c r="G86" s="27"/>
      <c r="I86" s="27"/>
      <c r="L86" s="30" t="str">
        <f>IF(OR(CtpyRating[[#This Row],[FI_RATING]]="",_xlfn.XLOOKUP(CtpyRating[[#This Row],[CPTY_NAME]],S:S,U:U,"",0)=CtpyRating[[#This Row],[FI_RATING]],CtpyRating[[#This Row],[New Rating]]="Yes"),"No","Yes")</f>
        <v>No</v>
      </c>
      <c r="M8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6" s="30" t="str">
        <f>IF(AND(CtpyRating[[#This Row],[FI_RATING]]&lt;&gt;"",_xlfn.XLOOKUP(CtpyRating[[#This Row],[CPTY_NAME]],S:S,U:U,"",0)=""),"Yes","No")</f>
        <v>No</v>
      </c>
      <c r="O86" s="30"/>
      <c r="Q86">
        <v>7</v>
      </c>
      <c r="R86">
        <v>2026</v>
      </c>
      <c r="S86" t="s">
        <v>124</v>
      </c>
      <c r="T86" t="s">
        <v>336</v>
      </c>
      <c r="U86" t="s">
        <v>31</v>
      </c>
      <c r="V86" s="34"/>
      <c r="W86"/>
      <c r="X86"/>
    </row>
    <row r="87" spans="1:24" x14ac:dyDescent="0.3">
      <c r="A87" t="s">
        <v>124</v>
      </c>
      <c r="B87" t="s">
        <v>336</v>
      </c>
      <c r="C87" t="s">
        <v>98</v>
      </c>
      <c r="D87" t="s">
        <v>31</v>
      </c>
      <c r="E87" s="27"/>
      <c r="G87" s="27"/>
      <c r="I87" s="27"/>
      <c r="L87" s="30" t="str">
        <f>IF(OR(CtpyRating[[#This Row],[FI_RATING]]="",_xlfn.XLOOKUP(CtpyRating[[#This Row],[CPTY_NAME]],S:S,U:U,"",0)=CtpyRating[[#This Row],[FI_RATING]],CtpyRating[[#This Row],[New Rating]]="Yes"),"No","Yes")</f>
        <v>No</v>
      </c>
      <c r="M8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7" s="30" t="str">
        <f>IF(AND(CtpyRating[[#This Row],[FI_RATING]]&lt;&gt;"",_xlfn.XLOOKUP(CtpyRating[[#This Row],[CPTY_NAME]],S:S,U:U,"",0)=""),"Yes","No")</f>
        <v>No</v>
      </c>
      <c r="O87" s="30"/>
      <c r="Q87">
        <v>7</v>
      </c>
      <c r="R87">
        <v>2026</v>
      </c>
      <c r="S87" t="s">
        <v>125</v>
      </c>
      <c r="T87" t="s">
        <v>337</v>
      </c>
      <c r="U87" t="s">
        <v>126</v>
      </c>
      <c r="V87" s="34"/>
      <c r="W87"/>
      <c r="X87"/>
    </row>
    <row r="88" spans="1:24" x14ac:dyDescent="0.3">
      <c r="A88" t="s">
        <v>125</v>
      </c>
      <c r="B88" t="s">
        <v>337</v>
      </c>
      <c r="C88" t="s">
        <v>17</v>
      </c>
      <c r="D88" t="s">
        <v>126</v>
      </c>
      <c r="E88" s="27"/>
      <c r="G88" s="27"/>
      <c r="I88" s="27"/>
      <c r="L88" s="30" t="str">
        <f>IF(OR(CtpyRating[[#This Row],[FI_RATING]]="",_xlfn.XLOOKUP(CtpyRating[[#This Row],[CPTY_NAME]],S:S,U:U,"",0)=CtpyRating[[#This Row],[FI_RATING]],CtpyRating[[#This Row],[New Rating]]="Yes"),"No","Yes")</f>
        <v>No</v>
      </c>
      <c r="M8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8" s="30" t="str">
        <f>IF(AND(CtpyRating[[#This Row],[FI_RATING]]&lt;&gt;"",_xlfn.XLOOKUP(CtpyRating[[#This Row],[CPTY_NAME]],S:S,U:U,"",0)=""),"Yes","No")</f>
        <v>No</v>
      </c>
      <c r="O88" s="30"/>
      <c r="Q88">
        <v>7</v>
      </c>
      <c r="R88">
        <v>2026</v>
      </c>
      <c r="S88" t="s">
        <v>127</v>
      </c>
      <c r="T88" t="s">
        <v>338</v>
      </c>
      <c r="U88" t="s">
        <v>33</v>
      </c>
      <c r="V88" s="34">
        <v>46197</v>
      </c>
      <c r="W88"/>
      <c r="X88"/>
    </row>
    <row r="89" spans="1:24" x14ac:dyDescent="0.3">
      <c r="A89" t="s">
        <v>127</v>
      </c>
      <c r="B89" t="s">
        <v>338</v>
      </c>
      <c r="C89" t="s">
        <v>17</v>
      </c>
      <c r="D89" t="s">
        <v>33</v>
      </c>
      <c r="E89" s="27">
        <v>46197</v>
      </c>
      <c r="F89" t="s">
        <v>21</v>
      </c>
      <c r="G89" s="27">
        <v>45974</v>
      </c>
      <c r="I89" s="27"/>
      <c r="L89" s="30" t="str">
        <f>IF(OR(CtpyRating[[#This Row],[FI_RATING]]="",_xlfn.XLOOKUP(CtpyRating[[#This Row],[CPTY_NAME]],S:S,U:U,"",0)=CtpyRating[[#This Row],[FI_RATING]],CtpyRating[[#This Row],[New Rating]]="Yes"),"No","Yes")</f>
        <v>No</v>
      </c>
      <c r="M8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89" s="30" t="str">
        <f>IF(AND(CtpyRating[[#This Row],[FI_RATING]]&lt;&gt;"",_xlfn.XLOOKUP(CtpyRating[[#This Row],[CPTY_NAME]],S:S,U:U,"",0)=""),"Yes","No")</f>
        <v>No</v>
      </c>
      <c r="O89" s="30"/>
      <c r="Q89">
        <v>7</v>
      </c>
      <c r="R89">
        <v>2026</v>
      </c>
      <c r="S89" t="s">
        <v>128</v>
      </c>
      <c r="T89" t="s">
        <v>339</v>
      </c>
      <c r="U89" t="s">
        <v>33</v>
      </c>
      <c r="V89" s="34">
        <v>46196</v>
      </c>
      <c r="W89"/>
      <c r="X89"/>
    </row>
    <row r="90" spans="1:24" x14ac:dyDescent="0.3">
      <c r="A90" t="s">
        <v>128</v>
      </c>
      <c r="B90" t="s">
        <v>339</v>
      </c>
      <c r="C90" t="s">
        <v>17</v>
      </c>
      <c r="D90" t="s">
        <v>33</v>
      </c>
      <c r="E90" s="27">
        <v>46196</v>
      </c>
      <c r="F90" t="s">
        <v>21</v>
      </c>
      <c r="G90" s="27">
        <v>45974</v>
      </c>
      <c r="I90" s="27"/>
      <c r="L90" s="30" t="str">
        <f>IF(OR(CtpyRating[[#This Row],[FI_RATING]]="",_xlfn.XLOOKUP(CtpyRating[[#This Row],[CPTY_NAME]],S:S,U:U,"",0)=CtpyRating[[#This Row],[FI_RATING]],CtpyRating[[#This Row],[New Rating]]="Yes"),"No","Yes")</f>
        <v>No</v>
      </c>
      <c r="M9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0" s="30" t="str">
        <f>IF(AND(CtpyRating[[#This Row],[FI_RATING]]&lt;&gt;"",_xlfn.XLOOKUP(CtpyRating[[#This Row],[CPTY_NAME]],S:S,U:U,"",0)=""),"Yes","No")</f>
        <v>No</v>
      </c>
      <c r="O90" s="30"/>
      <c r="Q90">
        <v>7</v>
      </c>
      <c r="R90">
        <v>2026</v>
      </c>
      <c r="S90" t="s">
        <v>129</v>
      </c>
      <c r="T90" t="s">
        <v>340</v>
      </c>
      <c r="U90" t="s">
        <v>52</v>
      </c>
      <c r="V90" s="34">
        <v>45749</v>
      </c>
      <c r="W90"/>
      <c r="X90"/>
    </row>
    <row r="91" spans="1:24" x14ac:dyDescent="0.3">
      <c r="A91" t="s">
        <v>129</v>
      </c>
      <c r="B91" t="s">
        <v>340</v>
      </c>
      <c r="C91" t="s">
        <v>17</v>
      </c>
      <c r="D91" t="s">
        <v>52</v>
      </c>
      <c r="E91" s="27">
        <v>46197</v>
      </c>
      <c r="G91" s="27"/>
      <c r="I91" s="27"/>
      <c r="L91" s="30" t="str">
        <f>IF(OR(CtpyRating[[#This Row],[FI_RATING]]="",_xlfn.XLOOKUP(CtpyRating[[#This Row],[CPTY_NAME]],S:S,U:U,"",0)=CtpyRating[[#This Row],[FI_RATING]],CtpyRating[[#This Row],[New Rating]]="Yes"),"No","Yes")</f>
        <v>No</v>
      </c>
      <c r="M91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91" s="30" t="str">
        <f>IF(AND(CtpyRating[[#This Row],[FI_RATING]]&lt;&gt;"",_xlfn.XLOOKUP(CtpyRating[[#This Row],[CPTY_NAME]],S:S,U:U,"",0)=""),"Yes","No")</f>
        <v>No</v>
      </c>
      <c r="O91" s="30"/>
      <c r="Q91">
        <v>7</v>
      </c>
      <c r="R91">
        <v>2026</v>
      </c>
      <c r="S91" t="s">
        <v>130</v>
      </c>
      <c r="T91" t="s">
        <v>341</v>
      </c>
      <c r="U91" t="s">
        <v>52</v>
      </c>
      <c r="V91" s="34">
        <v>46119</v>
      </c>
      <c r="W91"/>
      <c r="X91"/>
    </row>
    <row r="92" spans="1:24" x14ac:dyDescent="0.3">
      <c r="A92" t="s">
        <v>130</v>
      </c>
      <c r="B92" t="s">
        <v>341</v>
      </c>
      <c r="C92" t="s">
        <v>17</v>
      </c>
      <c r="D92" t="s">
        <v>52</v>
      </c>
      <c r="E92" s="27">
        <v>46119</v>
      </c>
      <c r="G92" s="27"/>
      <c r="I92" s="27"/>
      <c r="L92" s="30" t="str">
        <f>IF(OR(CtpyRating[[#This Row],[FI_RATING]]="",_xlfn.XLOOKUP(CtpyRating[[#This Row],[CPTY_NAME]],S:S,U:U,"",0)=CtpyRating[[#This Row],[FI_RATING]],CtpyRating[[#This Row],[New Rating]]="Yes"),"No","Yes")</f>
        <v>No</v>
      </c>
      <c r="M9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2" s="30" t="str">
        <f>IF(AND(CtpyRating[[#This Row],[FI_RATING]]&lt;&gt;"",_xlfn.XLOOKUP(CtpyRating[[#This Row],[CPTY_NAME]],S:S,U:U,"",0)=""),"Yes","No")</f>
        <v>No</v>
      </c>
      <c r="O92" s="30"/>
      <c r="Q92">
        <v>7</v>
      </c>
      <c r="R92">
        <v>2026</v>
      </c>
      <c r="S92" t="s">
        <v>131</v>
      </c>
      <c r="T92" t="s">
        <v>342</v>
      </c>
      <c r="U92" t="s">
        <v>24</v>
      </c>
      <c r="V92" s="34">
        <v>45912</v>
      </c>
      <c r="W92"/>
      <c r="X92"/>
    </row>
    <row r="93" spans="1:24" x14ac:dyDescent="0.3">
      <c r="A93" t="s">
        <v>131</v>
      </c>
      <c r="B93" t="s">
        <v>342</v>
      </c>
      <c r="C93" t="s">
        <v>17</v>
      </c>
      <c r="D93" t="s">
        <v>24</v>
      </c>
      <c r="E93" s="27">
        <v>45912</v>
      </c>
      <c r="G93" s="27"/>
      <c r="I93" s="27"/>
      <c r="L93" s="30" t="str">
        <f>IF(OR(CtpyRating[[#This Row],[FI_RATING]]="",_xlfn.XLOOKUP(CtpyRating[[#This Row],[CPTY_NAME]],S:S,U:U,"",0)=CtpyRating[[#This Row],[FI_RATING]],CtpyRating[[#This Row],[New Rating]]="Yes"),"No","Yes")</f>
        <v>No</v>
      </c>
      <c r="M9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3" s="30" t="str">
        <f>IF(AND(CtpyRating[[#This Row],[FI_RATING]]&lt;&gt;"",_xlfn.XLOOKUP(CtpyRating[[#This Row],[CPTY_NAME]],S:S,U:U,"",0)=""),"Yes","No")</f>
        <v>No</v>
      </c>
      <c r="O93" s="30"/>
      <c r="Q93">
        <v>7</v>
      </c>
      <c r="R93">
        <v>2026</v>
      </c>
      <c r="S93" t="s">
        <v>132</v>
      </c>
      <c r="T93" t="s">
        <v>343</v>
      </c>
      <c r="U93" t="s">
        <v>20</v>
      </c>
      <c r="V93" s="34">
        <v>45868</v>
      </c>
      <c r="W93"/>
      <c r="X93"/>
    </row>
    <row r="94" spans="1:24" x14ac:dyDescent="0.3">
      <c r="A94" t="s">
        <v>132</v>
      </c>
      <c r="B94" t="s">
        <v>343</v>
      </c>
      <c r="C94" t="s">
        <v>17</v>
      </c>
      <c r="D94" t="s">
        <v>20</v>
      </c>
      <c r="E94" s="27">
        <v>46227</v>
      </c>
      <c r="G94" s="27"/>
      <c r="I94" s="27"/>
      <c r="L94" s="30" t="str">
        <f>IF(OR(CtpyRating[[#This Row],[FI_RATING]]="",_xlfn.XLOOKUP(CtpyRating[[#This Row],[CPTY_NAME]],S:S,U:U,"",0)=CtpyRating[[#This Row],[FI_RATING]],CtpyRating[[#This Row],[New Rating]]="Yes"),"No","Yes")</f>
        <v>No</v>
      </c>
      <c r="M94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94" s="30" t="str">
        <f>IF(AND(CtpyRating[[#This Row],[FI_RATING]]&lt;&gt;"",_xlfn.XLOOKUP(CtpyRating[[#This Row],[CPTY_NAME]],S:S,U:U,"",0)=""),"Yes","No")</f>
        <v>No</v>
      </c>
      <c r="O94" s="30"/>
      <c r="Q94">
        <v>7</v>
      </c>
      <c r="R94">
        <v>2026</v>
      </c>
      <c r="S94" t="s">
        <v>133</v>
      </c>
      <c r="T94" t="s">
        <v>344</v>
      </c>
      <c r="U94" t="s">
        <v>248</v>
      </c>
      <c r="V94" s="34"/>
      <c r="W94"/>
      <c r="X94"/>
    </row>
    <row r="95" spans="1:24" x14ac:dyDescent="0.3">
      <c r="A95" t="s">
        <v>133</v>
      </c>
      <c r="B95" t="s">
        <v>344</v>
      </c>
      <c r="C95" t="s">
        <v>134</v>
      </c>
      <c r="E95" s="27"/>
      <c r="F95" t="s">
        <v>52</v>
      </c>
      <c r="G95" s="27">
        <v>45730</v>
      </c>
      <c r="H95" t="s">
        <v>135</v>
      </c>
      <c r="I95" s="27">
        <v>45978</v>
      </c>
      <c r="L95" s="30" t="str">
        <f>IF(OR(CtpyRating[[#This Row],[FI_RATING]]="",_xlfn.XLOOKUP(CtpyRating[[#This Row],[CPTY_NAME]],S:S,U:U,"",0)=CtpyRating[[#This Row],[FI_RATING]],CtpyRating[[#This Row],[New Rating]]="Yes"),"No","Yes")</f>
        <v>No</v>
      </c>
      <c r="M9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5" s="30" t="str">
        <f>IF(AND(CtpyRating[[#This Row],[FI_RATING]]&lt;&gt;"",_xlfn.XLOOKUP(CtpyRating[[#This Row],[CPTY_NAME]],S:S,U:U,"",0)=""),"Yes","No")</f>
        <v>No</v>
      </c>
      <c r="O95" s="30"/>
      <c r="Q95">
        <v>7</v>
      </c>
      <c r="R95">
        <v>2026</v>
      </c>
      <c r="S95" t="s">
        <v>136</v>
      </c>
      <c r="T95" t="s">
        <v>345</v>
      </c>
      <c r="U95" t="s">
        <v>248</v>
      </c>
      <c r="V95" s="34"/>
      <c r="W95"/>
      <c r="X95"/>
    </row>
    <row r="96" spans="1:24" x14ac:dyDescent="0.3">
      <c r="A96" t="s">
        <v>136</v>
      </c>
      <c r="B96" t="s">
        <v>345</v>
      </c>
      <c r="C96" t="s">
        <v>134</v>
      </c>
      <c r="E96" s="27"/>
      <c r="G96" s="27"/>
      <c r="H96" t="s">
        <v>142</v>
      </c>
      <c r="I96" s="27">
        <v>45972</v>
      </c>
      <c r="J96" t="s">
        <v>33</v>
      </c>
      <c r="K96">
        <v>44687</v>
      </c>
      <c r="L96" s="30" t="str">
        <f>IF(OR(CtpyRating[[#This Row],[FI_RATING]]="",_xlfn.XLOOKUP(CtpyRating[[#This Row],[CPTY_NAME]],S:S,U:U,"",0)=CtpyRating[[#This Row],[FI_RATING]],CtpyRating[[#This Row],[New Rating]]="Yes"),"No","Yes")</f>
        <v>No</v>
      </c>
      <c r="M9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6" s="30" t="str">
        <f>IF(AND(CtpyRating[[#This Row],[FI_RATING]]&lt;&gt;"",_xlfn.XLOOKUP(CtpyRating[[#This Row],[CPTY_NAME]],S:S,U:U,"",0)=""),"Yes","No")</f>
        <v>No</v>
      </c>
      <c r="O96" s="30"/>
      <c r="Q96">
        <v>7</v>
      </c>
      <c r="R96">
        <v>2026</v>
      </c>
      <c r="S96" t="s">
        <v>138</v>
      </c>
      <c r="T96" t="s">
        <v>346</v>
      </c>
      <c r="U96" t="s">
        <v>248</v>
      </c>
      <c r="V96" s="34"/>
      <c r="W96"/>
      <c r="X96"/>
    </row>
    <row r="97" spans="1:24" x14ac:dyDescent="0.3">
      <c r="A97" t="s">
        <v>138</v>
      </c>
      <c r="B97" t="s">
        <v>346</v>
      </c>
      <c r="C97" t="s">
        <v>134</v>
      </c>
      <c r="E97" s="27"/>
      <c r="F97" t="s">
        <v>139</v>
      </c>
      <c r="G97" s="27">
        <v>45812</v>
      </c>
      <c r="H97" t="s">
        <v>142</v>
      </c>
      <c r="I97" s="27">
        <v>45979</v>
      </c>
      <c r="L97" s="30" t="str">
        <f>IF(OR(CtpyRating[[#This Row],[FI_RATING]]="",_xlfn.XLOOKUP(CtpyRating[[#This Row],[CPTY_NAME]],S:S,U:U,"",0)=CtpyRating[[#This Row],[FI_RATING]],CtpyRating[[#This Row],[New Rating]]="Yes"),"No","Yes")</f>
        <v>No</v>
      </c>
      <c r="M9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7" s="30" t="str">
        <f>IF(AND(CtpyRating[[#This Row],[FI_RATING]]&lt;&gt;"",_xlfn.XLOOKUP(CtpyRating[[#This Row],[CPTY_NAME]],S:S,U:U,"",0)=""),"Yes","No")</f>
        <v>No</v>
      </c>
      <c r="O97" s="30"/>
      <c r="Q97">
        <v>7</v>
      </c>
      <c r="R97">
        <v>2026</v>
      </c>
      <c r="S97" t="s">
        <v>141</v>
      </c>
      <c r="T97" t="s">
        <v>347</v>
      </c>
      <c r="U97" t="s">
        <v>248</v>
      </c>
      <c r="V97" s="34"/>
      <c r="W97"/>
      <c r="X97"/>
    </row>
    <row r="98" spans="1:24" x14ac:dyDescent="0.3">
      <c r="A98" t="s">
        <v>141</v>
      </c>
      <c r="B98" t="s">
        <v>347</v>
      </c>
      <c r="C98" t="s">
        <v>134</v>
      </c>
      <c r="E98" s="27"/>
      <c r="F98" t="s">
        <v>33</v>
      </c>
      <c r="G98" s="27">
        <v>45909</v>
      </c>
      <c r="H98" t="s">
        <v>142</v>
      </c>
      <c r="I98" s="27">
        <v>45960</v>
      </c>
      <c r="L98" s="30" t="str">
        <f>IF(OR(CtpyRating[[#This Row],[FI_RATING]]="",_xlfn.XLOOKUP(CtpyRating[[#This Row],[CPTY_NAME]],S:S,U:U,"",0)=CtpyRating[[#This Row],[FI_RATING]],CtpyRating[[#This Row],[New Rating]]="Yes"),"No","Yes")</f>
        <v>No</v>
      </c>
      <c r="M9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8" s="30" t="str">
        <f>IF(AND(CtpyRating[[#This Row],[FI_RATING]]&lt;&gt;"",_xlfn.XLOOKUP(CtpyRating[[#This Row],[CPTY_NAME]],S:S,U:U,"",0)=""),"Yes","No")</f>
        <v>No</v>
      </c>
      <c r="O98" s="30"/>
      <c r="Q98">
        <v>7</v>
      </c>
      <c r="R98">
        <v>2026</v>
      </c>
      <c r="S98" t="s">
        <v>143</v>
      </c>
      <c r="T98" t="s">
        <v>348</v>
      </c>
      <c r="U98" t="s">
        <v>248</v>
      </c>
      <c r="V98" s="34"/>
      <c r="W98"/>
      <c r="X98"/>
    </row>
    <row r="99" spans="1:24" x14ac:dyDescent="0.3">
      <c r="A99" t="s">
        <v>143</v>
      </c>
      <c r="B99" t="s">
        <v>348</v>
      </c>
      <c r="C99" t="s">
        <v>134</v>
      </c>
      <c r="E99" s="27"/>
      <c r="F99" t="s">
        <v>33</v>
      </c>
      <c r="G99" s="27">
        <v>45793</v>
      </c>
      <c r="H99" t="s">
        <v>142</v>
      </c>
      <c r="I99" s="27">
        <v>45979</v>
      </c>
      <c r="L99" s="30" t="str">
        <f>IF(OR(CtpyRating[[#This Row],[FI_RATING]]="",_xlfn.XLOOKUP(CtpyRating[[#This Row],[CPTY_NAME]],S:S,U:U,"",0)=CtpyRating[[#This Row],[FI_RATING]],CtpyRating[[#This Row],[New Rating]]="Yes"),"No","Yes")</f>
        <v>No</v>
      </c>
      <c r="M9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99" s="30" t="str">
        <f>IF(AND(CtpyRating[[#This Row],[FI_RATING]]&lt;&gt;"",_xlfn.XLOOKUP(CtpyRating[[#This Row],[CPTY_NAME]],S:S,U:U,"",0)=""),"Yes","No")</f>
        <v>No</v>
      </c>
      <c r="O99" s="30"/>
      <c r="Q99">
        <v>7</v>
      </c>
      <c r="R99">
        <v>2026</v>
      </c>
      <c r="S99" t="s">
        <v>144</v>
      </c>
      <c r="T99" t="s">
        <v>349</v>
      </c>
      <c r="U99" t="s">
        <v>248</v>
      </c>
      <c r="V99" s="34"/>
      <c r="W99"/>
      <c r="X99"/>
    </row>
    <row r="100" spans="1:24" x14ac:dyDescent="0.3">
      <c r="A100" t="s">
        <v>144</v>
      </c>
      <c r="B100" t="s">
        <v>349</v>
      </c>
      <c r="C100" t="s">
        <v>134</v>
      </c>
      <c r="E100" s="27"/>
      <c r="F100" t="s">
        <v>139</v>
      </c>
      <c r="G100" s="27">
        <v>45884</v>
      </c>
      <c r="H100" t="s">
        <v>140</v>
      </c>
      <c r="I100" s="27">
        <v>45978</v>
      </c>
      <c r="L100" s="30" t="str">
        <f>IF(OR(CtpyRating[[#This Row],[FI_RATING]]="",_xlfn.XLOOKUP(CtpyRating[[#This Row],[CPTY_NAME]],S:S,U:U,"",0)=CtpyRating[[#This Row],[FI_RATING]],CtpyRating[[#This Row],[New Rating]]="Yes"),"No","Yes")</f>
        <v>No</v>
      </c>
      <c r="M10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0" s="30" t="str">
        <f>IF(AND(CtpyRating[[#This Row],[FI_RATING]]&lt;&gt;"",_xlfn.XLOOKUP(CtpyRating[[#This Row],[CPTY_NAME]],S:S,U:U,"",0)=""),"Yes","No")</f>
        <v>No</v>
      </c>
      <c r="O100" s="30"/>
      <c r="Q100">
        <v>7</v>
      </c>
      <c r="R100">
        <v>2026</v>
      </c>
      <c r="S100" t="s">
        <v>145</v>
      </c>
      <c r="T100" t="s">
        <v>350</v>
      </c>
      <c r="U100" t="s">
        <v>248</v>
      </c>
      <c r="V100" s="34"/>
      <c r="W100"/>
      <c r="X100"/>
    </row>
    <row r="101" spans="1:24" x14ac:dyDescent="0.3">
      <c r="A101" t="s">
        <v>145</v>
      </c>
      <c r="B101" t="s">
        <v>350</v>
      </c>
      <c r="C101" t="s">
        <v>134</v>
      </c>
      <c r="E101" s="27"/>
      <c r="F101" t="s">
        <v>126</v>
      </c>
      <c r="G101" s="27">
        <v>45742</v>
      </c>
      <c r="H101" t="s">
        <v>146</v>
      </c>
      <c r="I101" s="27">
        <v>45979</v>
      </c>
      <c r="L101" s="30" t="str">
        <f>IF(OR(CtpyRating[[#This Row],[FI_RATING]]="",_xlfn.XLOOKUP(CtpyRating[[#This Row],[CPTY_NAME]],S:S,U:U,"",0)=CtpyRating[[#This Row],[FI_RATING]],CtpyRating[[#This Row],[New Rating]]="Yes"),"No","Yes")</f>
        <v>No</v>
      </c>
      <c r="M10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1" s="30" t="str">
        <f>IF(AND(CtpyRating[[#This Row],[FI_RATING]]&lt;&gt;"",_xlfn.XLOOKUP(CtpyRating[[#This Row],[CPTY_NAME]],S:S,U:U,"",0)=""),"Yes","No")</f>
        <v>No</v>
      </c>
      <c r="O101" s="30"/>
      <c r="Q101">
        <v>7</v>
      </c>
      <c r="R101">
        <v>2026</v>
      </c>
      <c r="S101" t="s">
        <v>147</v>
      </c>
      <c r="T101" t="s">
        <v>351</v>
      </c>
      <c r="U101" t="s">
        <v>248</v>
      </c>
      <c r="V101" s="34"/>
      <c r="W101"/>
      <c r="X101"/>
    </row>
    <row r="102" spans="1:24" x14ac:dyDescent="0.3">
      <c r="A102" t="s">
        <v>147</v>
      </c>
      <c r="B102" t="s">
        <v>351</v>
      </c>
      <c r="C102" t="s">
        <v>134</v>
      </c>
      <c r="E102" s="27"/>
      <c r="F102" t="s">
        <v>126</v>
      </c>
      <c r="G102" s="27">
        <v>45791</v>
      </c>
      <c r="H102" t="s">
        <v>135</v>
      </c>
      <c r="I102" s="27">
        <v>45979</v>
      </c>
      <c r="L102" s="30" t="str">
        <f>IF(OR(CtpyRating[[#This Row],[FI_RATING]]="",_xlfn.XLOOKUP(CtpyRating[[#This Row],[CPTY_NAME]],S:S,U:U,"",0)=CtpyRating[[#This Row],[FI_RATING]],CtpyRating[[#This Row],[New Rating]]="Yes"),"No","Yes")</f>
        <v>No</v>
      </c>
      <c r="M10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2" s="30" t="str">
        <f>IF(AND(CtpyRating[[#This Row],[FI_RATING]]&lt;&gt;"",_xlfn.XLOOKUP(CtpyRating[[#This Row],[CPTY_NAME]],S:S,U:U,"",0)=""),"Yes","No")</f>
        <v>No</v>
      </c>
      <c r="O102" s="30"/>
      <c r="Q102">
        <v>7</v>
      </c>
      <c r="R102">
        <v>2026</v>
      </c>
      <c r="S102" t="s">
        <v>148</v>
      </c>
      <c r="T102" t="s">
        <v>352</v>
      </c>
      <c r="U102" t="s">
        <v>248</v>
      </c>
      <c r="V102" s="34"/>
      <c r="W102"/>
      <c r="X102"/>
    </row>
    <row r="103" spans="1:24" x14ac:dyDescent="0.3">
      <c r="A103" t="s">
        <v>148</v>
      </c>
      <c r="B103" t="s">
        <v>352</v>
      </c>
      <c r="C103" t="s">
        <v>134</v>
      </c>
      <c r="E103" s="27"/>
      <c r="G103" s="27"/>
      <c r="H103" t="s">
        <v>142</v>
      </c>
      <c r="I103" s="27">
        <v>46072</v>
      </c>
      <c r="L103" s="30" t="str">
        <f>IF(OR(CtpyRating[[#This Row],[FI_RATING]]="",_xlfn.XLOOKUP(CtpyRating[[#This Row],[CPTY_NAME]],S:S,U:U,"",0)=CtpyRating[[#This Row],[FI_RATING]],CtpyRating[[#This Row],[New Rating]]="Yes"),"No","Yes")</f>
        <v>No</v>
      </c>
      <c r="M10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3" s="30" t="str">
        <f>IF(AND(CtpyRating[[#This Row],[FI_RATING]]&lt;&gt;"",_xlfn.XLOOKUP(CtpyRating[[#This Row],[CPTY_NAME]],S:S,U:U,"",0)=""),"Yes","No")</f>
        <v>No</v>
      </c>
      <c r="O103" s="30"/>
      <c r="Q103">
        <v>7</v>
      </c>
      <c r="R103">
        <v>2026</v>
      </c>
      <c r="S103" t="s">
        <v>150</v>
      </c>
      <c r="T103" t="s">
        <v>337</v>
      </c>
      <c r="U103" t="s">
        <v>248</v>
      </c>
      <c r="V103" s="34"/>
      <c r="W103"/>
      <c r="X103"/>
    </row>
    <row r="104" spans="1:24" x14ac:dyDescent="0.3">
      <c r="A104" t="s">
        <v>150</v>
      </c>
      <c r="B104" t="s">
        <v>337</v>
      </c>
      <c r="C104" t="s">
        <v>134</v>
      </c>
      <c r="E104" s="27"/>
      <c r="F104" t="s">
        <v>126</v>
      </c>
      <c r="G104" s="27">
        <v>45888</v>
      </c>
      <c r="H104" t="s">
        <v>142</v>
      </c>
      <c r="I104" s="27">
        <v>45979</v>
      </c>
      <c r="L104" s="30" t="str">
        <f>IF(OR(CtpyRating[[#This Row],[FI_RATING]]="",_xlfn.XLOOKUP(CtpyRating[[#This Row],[CPTY_NAME]],S:S,U:U,"",0)=CtpyRating[[#This Row],[FI_RATING]],CtpyRating[[#This Row],[New Rating]]="Yes"),"No","Yes")</f>
        <v>No</v>
      </c>
      <c r="M10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4" s="30" t="str">
        <f>IF(AND(CtpyRating[[#This Row],[FI_RATING]]&lt;&gt;"",_xlfn.XLOOKUP(CtpyRating[[#This Row],[CPTY_NAME]],S:S,U:U,"",0)=""),"Yes","No")</f>
        <v>No</v>
      </c>
      <c r="O104" s="30"/>
      <c r="Q104">
        <v>7</v>
      </c>
      <c r="R104">
        <v>2026</v>
      </c>
      <c r="S104" t="s">
        <v>151</v>
      </c>
      <c r="T104" t="s">
        <v>353</v>
      </c>
      <c r="U104" t="s">
        <v>248</v>
      </c>
      <c r="V104" s="34"/>
      <c r="W104"/>
      <c r="X104"/>
    </row>
    <row r="105" spans="1:24" x14ac:dyDescent="0.3">
      <c r="A105" t="s">
        <v>151</v>
      </c>
      <c r="B105" t="s">
        <v>353</v>
      </c>
      <c r="C105" t="s">
        <v>134</v>
      </c>
      <c r="E105" s="27"/>
      <c r="F105" t="s">
        <v>33</v>
      </c>
      <c r="G105" s="27">
        <v>46045</v>
      </c>
      <c r="H105" t="s">
        <v>142</v>
      </c>
      <c r="I105" s="27">
        <v>46140</v>
      </c>
      <c r="L105" s="30" t="str">
        <f>IF(OR(CtpyRating[[#This Row],[FI_RATING]]="",_xlfn.XLOOKUP(CtpyRating[[#This Row],[CPTY_NAME]],S:S,U:U,"",0)=CtpyRating[[#This Row],[FI_RATING]],CtpyRating[[#This Row],[New Rating]]="Yes"),"No","Yes")</f>
        <v>No</v>
      </c>
      <c r="M10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5" s="30" t="str">
        <f>IF(AND(CtpyRating[[#This Row],[FI_RATING]]&lt;&gt;"",_xlfn.XLOOKUP(CtpyRating[[#This Row],[CPTY_NAME]],S:S,U:U,"",0)=""),"Yes","No")</f>
        <v>No</v>
      </c>
      <c r="O105" s="30"/>
      <c r="Q105">
        <v>7</v>
      </c>
      <c r="R105">
        <v>2026</v>
      </c>
      <c r="S105" t="s">
        <v>152</v>
      </c>
      <c r="T105" t="s">
        <v>354</v>
      </c>
      <c r="U105" t="s">
        <v>248</v>
      </c>
      <c r="V105" s="34"/>
      <c r="W105"/>
      <c r="X105"/>
    </row>
    <row r="106" spans="1:24" x14ac:dyDescent="0.3">
      <c r="A106" t="s">
        <v>152</v>
      </c>
      <c r="B106" t="s">
        <v>354</v>
      </c>
      <c r="C106" t="s">
        <v>134</v>
      </c>
      <c r="E106" s="27"/>
      <c r="F106" t="s">
        <v>126</v>
      </c>
      <c r="G106" s="27">
        <v>45952</v>
      </c>
      <c r="H106" t="s">
        <v>146</v>
      </c>
      <c r="I106" s="27">
        <v>45992</v>
      </c>
      <c r="L106" s="30" t="str">
        <f>IF(OR(CtpyRating[[#This Row],[FI_RATING]]="",_xlfn.XLOOKUP(CtpyRating[[#This Row],[CPTY_NAME]],S:S,U:U,"",0)=CtpyRating[[#This Row],[FI_RATING]],CtpyRating[[#This Row],[New Rating]]="Yes"),"No","Yes")</f>
        <v>No</v>
      </c>
      <c r="M10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6" s="30" t="str">
        <f>IF(AND(CtpyRating[[#This Row],[FI_RATING]]&lt;&gt;"",_xlfn.XLOOKUP(CtpyRating[[#This Row],[CPTY_NAME]],S:S,U:U,"",0)=""),"Yes","No")</f>
        <v>No</v>
      </c>
      <c r="O106" s="30"/>
      <c r="Q106">
        <v>7</v>
      </c>
      <c r="R106">
        <v>2026</v>
      </c>
      <c r="S106" t="s">
        <v>153</v>
      </c>
      <c r="T106" t="s">
        <v>355</v>
      </c>
      <c r="U106" t="s">
        <v>248</v>
      </c>
      <c r="V106" s="34"/>
      <c r="W106"/>
      <c r="X106"/>
    </row>
    <row r="107" spans="1:24" x14ac:dyDescent="0.3">
      <c r="A107" t="s">
        <v>153</v>
      </c>
      <c r="B107" t="s">
        <v>355</v>
      </c>
      <c r="C107" t="s">
        <v>134</v>
      </c>
      <c r="E107" s="27"/>
      <c r="F107" t="s">
        <v>52</v>
      </c>
      <c r="G107" s="27">
        <v>45811</v>
      </c>
      <c r="H107" t="s">
        <v>135</v>
      </c>
      <c r="I107" s="27">
        <v>45978</v>
      </c>
      <c r="J107" t="s">
        <v>126</v>
      </c>
      <c r="K107">
        <v>45611</v>
      </c>
      <c r="L107" s="30" t="str">
        <f>IF(OR(CtpyRating[[#This Row],[FI_RATING]]="",_xlfn.XLOOKUP(CtpyRating[[#This Row],[CPTY_NAME]],S:S,U:U,"",0)=CtpyRating[[#This Row],[FI_RATING]],CtpyRating[[#This Row],[New Rating]]="Yes"),"No","Yes")</f>
        <v>No</v>
      </c>
      <c r="M10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7" s="30" t="str">
        <f>IF(AND(CtpyRating[[#This Row],[FI_RATING]]&lt;&gt;"",_xlfn.XLOOKUP(CtpyRating[[#This Row],[CPTY_NAME]],S:S,U:U,"",0)=""),"Yes","No")</f>
        <v>No</v>
      </c>
      <c r="O107" s="30"/>
      <c r="Q107">
        <v>7</v>
      </c>
      <c r="R107">
        <v>2026</v>
      </c>
      <c r="S107" t="s">
        <v>154</v>
      </c>
      <c r="T107" t="s">
        <v>356</v>
      </c>
      <c r="U107" t="s">
        <v>248</v>
      </c>
      <c r="V107" s="34"/>
      <c r="W107"/>
      <c r="X107"/>
    </row>
    <row r="108" spans="1:24" x14ac:dyDescent="0.3">
      <c r="A108" t="s">
        <v>154</v>
      </c>
      <c r="B108" t="s">
        <v>356</v>
      </c>
      <c r="C108" t="s">
        <v>134</v>
      </c>
      <c r="E108" s="27"/>
      <c r="F108" t="s">
        <v>33</v>
      </c>
      <c r="G108" s="27">
        <v>46010</v>
      </c>
      <c r="H108" t="s">
        <v>140</v>
      </c>
      <c r="I108" s="27">
        <v>45779</v>
      </c>
      <c r="L108" s="30" t="str">
        <f>IF(OR(CtpyRating[[#This Row],[FI_RATING]]="",_xlfn.XLOOKUP(CtpyRating[[#This Row],[CPTY_NAME]],S:S,U:U,"",0)=CtpyRating[[#This Row],[FI_RATING]],CtpyRating[[#This Row],[New Rating]]="Yes"),"No","Yes")</f>
        <v>No</v>
      </c>
      <c r="M10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8" s="30" t="str">
        <f>IF(AND(CtpyRating[[#This Row],[FI_RATING]]&lt;&gt;"",_xlfn.XLOOKUP(CtpyRating[[#This Row],[CPTY_NAME]],S:S,U:U,"",0)=""),"Yes","No")</f>
        <v>No</v>
      </c>
      <c r="O108" s="30"/>
      <c r="Q108">
        <v>7</v>
      </c>
      <c r="R108">
        <v>2026</v>
      </c>
      <c r="S108" t="s">
        <v>155</v>
      </c>
      <c r="T108" t="s">
        <v>357</v>
      </c>
      <c r="U108" t="s">
        <v>248</v>
      </c>
      <c r="V108" s="34"/>
      <c r="W108"/>
      <c r="X108"/>
    </row>
    <row r="109" spans="1:24" x14ac:dyDescent="0.3">
      <c r="A109" t="s">
        <v>155</v>
      </c>
      <c r="B109" t="s">
        <v>357</v>
      </c>
      <c r="C109" t="s">
        <v>134</v>
      </c>
      <c r="E109" s="27"/>
      <c r="G109" s="27"/>
      <c r="H109" t="s">
        <v>142</v>
      </c>
      <c r="I109" s="27">
        <v>45979</v>
      </c>
      <c r="L109" s="30" t="str">
        <f>IF(OR(CtpyRating[[#This Row],[FI_RATING]]="",_xlfn.XLOOKUP(CtpyRating[[#This Row],[CPTY_NAME]],S:S,U:U,"",0)=CtpyRating[[#This Row],[FI_RATING]],CtpyRating[[#This Row],[New Rating]]="Yes"),"No","Yes")</f>
        <v>No</v>
      </c>
      <c r="M10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09" s="30" t="str">
        <f>IF(AND(CtpyRating[[#This Row],[FI_RATING]]&lt;&gt;"",_xlfn.XLOOKUP(CtpyRating[[#This Row],[CPTY_NAME]],S:S,U:U,"",0)=""),"Yes","No")</f>
        <v>No</v>
      </c>
      <c r="O109" s="30"/>
      <c r="Q109">
        <v>7</v>
      </c>
      <c r="R109">
        <v>2026</v>
      </c>
      <c r="S109" t="s">
        <v>156</v>
      </c>
      <c r="T109" t="s">
        <v>358</v>
      </c>
      <c r="U109" t="s">
        <v>248</v>
      </c>
      <c r="V109" s="34"/>
      <c r="W109"/>
      <c r="X109"/>
    </row>
    <row r="110" spans="1:24" x14ac:dyDescent="0.3">
      <c r="A110" t="s">
        <v>156</v>
      </c>
      <c r="B110" t="s">
        <v>358</v>
      </c>
      <c r="C110" t="s">
        <v>134</v>
      </c>
      <c r="E110" s="27"/>
      <c r="F110" t="s">
        <v>126</v>
      </c>
      <c r="G110" s="27">
        <v>45742</v>
      </c>
      <c r="H110" t="s">
        <v>146</v>
      </c>
      <c r="I110" s="27">
        <v>45981</v>
      </c>
      <c r="L110" s="30" t="str">
        <f>IF(OR(CtpyRating[[#This Row],[FI_RATING]]="",_xlfn.XLOOKUP(CtpyRating[[#This Row],[CPTY_NAME]],S:S,U:U,"",0)=CtpyRating[[#This Row],[FI_RATING]],CtpyRating[[#This Row],[New Rating]]="Yes"),"No","Yes")</f>
        <v>No</v>
      </c>
      <c r="M11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0" s="30" t="str">
        <f>IF(AND(CtpyRating[[#This Row],[FI_RATING]]&lt;&gt;"",_xlfn.XLOOKUP(CtpyRating[[#This Row],[CPTY_NAME]],S:S,U:U,"",0)=""),"Yes","No")</f>
        <v>No</v>
      </c>
      <c r="O110" s="30"/>
      <c r="Q110">
        <v>7</v>
      </c>
      <c r="R110">
        <v>2026</v>
      </c>
      <c r="S110" t="s">
        <v>157</v>
      </c>
      <c r="T110" t="s">
        <v>359</v>
      </c>
      <c r="U110" t="s">
        <v>126</v>
      </c>
      <c r="V110" s="34"/>
      <c r="W110"/>
      <c r="X110"/>
    </row>
    <row r="111" spans="1:24" x14ac:dyDescent="0.3">
      <c r="A111" t="s">
        <v>157</v>
      </c>
      <c r="B111" t="s">
        <v>359</v>
      </c>
      <c r="C111" t="s">
        <v>134</v>
      </c>
      <c r="D111" t="s">
        <v>126</v>
      </c>
      <c r="E111" s="27"/>
      <c r="F111" t="s">
        <v>126</v>
      </c>
      <c r="G111" s="27"/>
      <c r="H111" t="s">
        <v>146</v>
      </c>
      <c r="I111" s="27"/>
      <c r="J111" t="s">
        <v>139</v>
      </c>
      <c r="L111" s="30" t="str">
        <f>IF(OR(CtpyRating[[#This Row],[FI_RATING]]="",_xlfn.XLOOKUP(CtpyRating[[#This Row],[CPTY_NAME]],S:S,U:U,"",0)=CtpyRating[[#This Row],[FI_RATING]],CtpyRating[[#This Row],[New Rating]]="Yes"),"No","Yes")</f>
        <v>No</v>
      </c>
      <c r="M11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1" s="30" t="str">
        <f>IF(AND(CtpyRating[[#This Row],[FI_RATING]]&lt;&gt;"",_xlfn.XLOOKUP(CtpyRating[[#This Row],[CPTY_NAME]],S:S,U:U,"",0)=""),"Yes","No")</f>
        <v>No</v>
      </c>
      <c r="O111" s="30"/>
      <c r="Q111">
        <v>7</v>
      </c>
      <c r="R111">
        <v>2026</v>
      </c>
      <c r="S111" t="s">
        <v>158</v>
      </c>
      <c r="T111" t="s">
        <v>360</v>
      </c>
      <c r="U111" t="s">
        <v>248</v>
      </c>
      <c r="V111" s="34"/>
      <c r="W111"/>
      <c r="X111"/>
    </row>
    <row r="112" spans="1:24" x14ac:dyDescent="0.3">
      <c r="A112" t="s">
        <v>158</v>
      </c>
      <c r="B112" t="s">
        <v>360</v>
      </c>
      <c r="C112" t="s">
        <v>134</v>
      </c>
      <c r="E112" s="27"/>
      <c r="G112" s="27"/>
      <c r="H112" t="s">
        <v>135</v>
      </c>
      <c r="I112" s="27">
        <v>45985</v>
      </c>
      <c r="L112" s="30" t="str">
        <f>IF(OR(CtpyRating[[#This Row],[FI_RATING]]="",_xlfn.XLOOKUP(CtpyRating[[#This Row],[CPTY_NAME]],S:S,U:U,"",0)=CtpyRating[[#This Row],[FI_RATING]],CtpyRating[[#This Row],[New Rating]]="Yes"),"No","Yes")</f>
        <v>No</v>
      </c>
      <c r="M11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2" s="30" t="str">
        <f>IF(AND(CtpyRating[[#This Row],[FI_RATING]]&lt;&gt;"",_xlfn.XLOOKUP(CtpyRating[[#This Row],[CPTY_NAME]],S:S,U:U,"",0)=""),"Yes","No")</f>
        <v>No</v>
      </c>
      <c r="O112" s="30"/>
      <c r="Q112">
        <v>7</v>
      </c>
      <c r="R112">
        <v>2026</v>
      </c>
      <c r="S112" t="s">
        <v>159</v>
      </c>
      <c r="T112" t="s">
        <v>361</v>
      </c>
      <c r="U112" t="s">
        <v>248</v>
      </c>
      <c r="V112" s="34"/>
      <c r="W112"/>
      <c r="X112"/>
    </row>
    <row r="113" spans="1:24" x14ac:dyDescent="0.3">
      <c r="A113" t="s">
        <v>159</v>
      </c>
      <c r="B113" t="s">
        <v>361</v>
      </c>
      <c r="C113" t="s">
        <v>134</v>
      </c>
      <c r="E113" s="27"/>
      <c r="F113" t="s">
        <v>33</v>
      </c>
      <c r="G113" s="27">
        <v>45945</v>
      </c>
      <c r="H113" t="s">
        <v>142</v>
      </c>
      <c r="I113" s="27">
        <v>45979</v>
      </c>
      <c r="L113" s="30" t="str">
        <f>IF(OR(CtpyRating[[#This Row],[FI_RATING]]="",_xlfn.XLOOKUP(CtpyRating[[#This Row],[CPTY_NAME]],S:S,U:U,"",0)=CtpyRating[[#This Row],[FI_RATING]],CtpyRating[[#This Row],[New Rating]]="Yes"),"No","Yes")</f>
        <v>No</v>
      </c>
      <c r="M11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3" s="30" t="str">
        <f>IF(AND(CtpyRating[[#This Row],[FI_RATING]]&lt;&gt;"",_xlfn.XLOOKUP(CtpyRating[[#This Row],[CPTY_NAME]],S:S,U:U,"",0)=""),"Yes","No")</f>
        <v>No</v>
      </c>
      <c r="O113" s="30"/>
      <c r="Q113">
        <v>7</v>
      </c>
      <c r="R113">
        <v>2026</v>
      </c>
      <c r="S113" t="s">
        <v>160</v>
      </c>
      <c r="T113" t="s">
        <v>362</v>
      </c>
      <c r="U113" t="s">
        <v>248</v>
      </c>
      <c r="V113" s="34"/>
      <c r="W113"/>
      <c r="X113"/>
    </row>
    <row r="114" spans="1:24" x14ac:dyDescent="0.3">
      <c r="A114" t="s">
        <v>160</v>
      </c>
      <c r="B114" t="s">
        <v>362</v>
      </c>
      <c r="C114" t="s">
        <v>134</v>
      </c>
      <c r="E114" s="27"/>
      <c r="F114" t="s">
        <v>126</v>
      </c>
      <c r="G114" s="27">
        <v>45793</v>
      </c>
      <c r="H114" t="s">
        <v>146</v>
      </c>
      <c r="I114" s="27">
        <v>45978</v>
      </c>
      <c r="L114" s="30" t="str">
        <f>IF(OR(CtpyRating[[#This Row],[FI_RATING]]="",_xlfn.XLOOKUP(CtpyRating[[#This Row],[CPTY_NAME]],S:S,U:U,"",0)=CtpyRating[[#This Row],[FI_RATING]],CtpyRating[[#This Row],[New Rating]]="Yes"),"No","Yes")</f>
        <v>No</v>
      </c>
      <c r="M11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4" s="30" t="str">
        <f>IF(AND(CtpyRating[[#This Row],[FI_RATING]]&lt;&gt;"",_xlfn.XLOOKUP(CtpyRating[[#This Row],[CPTY_NAME]],S:S,U:U,"",0)=""),"Yes","No")</f>
        <v>No</v>
      </c>
      <c r="O114" s="30"/>
      <c r="Q114">
        <v>7</v>
      </c>
      <c r="R114">
        <v>2026</v>
      </c>
      <c r="S114" t="s">
        <v>161</v>
      </c>
      <c r="T114" t="s">
        <v>342</v>
      </c>
      <c r="U114" t="s">
        <v>248</v>
      </c>
      <c r="V114" s="34"/>
      <c r="W114"/>
      <c r="X114"/>
    </row>
    <row r="115" spans="1:24" x14ac:dyDescent="0.3">
      <c r="A115" t="s">
        <v>161</v>
      </c>
      <c r="B115" t="s">
        <v>342</v>
      </c>
      <c r="C115" t="s">
        <v>134</v>
      </c>
      <c r="E115" s="27"/>
      <c r="G115" s="27"/>
      <c r="H115" t="s">
        <v>135</v>
      </c>
      <c r="I115" s="27">
        <v>45979</v>
      </c>
      <c r="L115" s="30" t="str">
        <f>IF(OR(CtpyRating[[#This Row],[FI_RATING]]="",_xlfn.XLOOKUP(CtpyRating[[#This Row],[CPTY_NAME]],S:S,U:U,"",0)=CtpyRating[[#This Row],[FI_RATING]],CtpyRating[[#This Row],[New Rating]]="Yes"),"No","Yes")</f>
        <v>No</v>
      </c>
      <c r="M11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5" s="30" t="str">
        <f>IF(AND(CtpyRating[[#This Row],[FI_RATING]]&lt;&gt;"",_xlfn.XLOOKUP(CtpyRating[[#This Row],[CPTY_NAME]],S:S,U:U,"",0)=""),"Yes","No")</f>
        <v>No</v>
      </c>
      <c r="O115" s="30"/>
      <c r="Q115">
        <v>7</v>
      </c>
      <c r="R115">
        <v>2026</v>
      </c>
      <c r="S115" t="s">
        <v>162</v>
      </c>
      <c r="T115" t="s">
        <v>363</v>
      </c>
      <c r="U115" t="s">
        <v>248</v>
      </c>
      <c r="V115" s="34"/>
      <c r="W115"/>
      <c r="X115"/>
    </row>
    <row r="116" spans="1:24" x14ac:dyDescent="0.3">
      <c r="A116" t="s">
        <v>162</v>
      </c>
      <c r="B116" t="s">
        <v>363</v>
      </c>
      <c r="C116" t="s">
        <v>134</v>
      </c>
      <c r="E116" s="27"/>
      <c r="G116" s="27"/>
      <c r="H116" t="s">
        <v>163</v>
      </c>
      <c r="I116" s="27">
        <v>45854</v>
      </c>
      <c r="L116" s="30" t="str">
        <f>IF(OR(CtpyRating[[#This Row],[FI_RATING]]="",_xlfn.XLOOKUP(CtpyRating[[#This Row],[CPTY_NAME]],S:S,U:U,"",0)=CtpyRating[[#This Row],[FI_RATING]],CtpyRating[[#This Row],[New Rating]]="Yes"),"No","Yes")</f>
        <v>No</v>
      </c>
      <c r="M11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6" s="30" t="str">
        <f>IF(AND(CtpyRating[[#This Row],[FI_RATING]]&lt;&gt;"",_xlfn.XLOOKUP(CtpyRating[[#This Row],[CPTY_NAME]],S:S,U:U,"",0)=""),"Yes","No")</f>
        <v>No</v>
      </c>
      <c r="O116" s="30"/>
      <c r="Q116">
        <v>7</v>
      </c>
      <c r="R116">
        <v>2026</v>
      </c>
      <c r="S116" t="s">
        <v>164</v>
      </c>
      <c r="T116" t="s">
        <v>248</v>
      </c>
      <c r="U116" t="s">
        <v>248</v>
      </c>
      <c r="V116" s="34"/>
      <c r="W116"/>
      <c r="X116"/>
    </row>
    <row r="117" spans="1:24" x14ac:dyDescent="0.3">
      <c r="A117" t="s">
        <v>164</v>
      </c>
      <c r="C117" t="s">
        <v>134</v>
      </c>
      <c r="E117" s="27"/>
      <c r="G117" s="27"/>
      <c r="H117" t="s">
        <v>142</v>
      </c>
      <c r="I117" s="27">
        <v>45827</v>
      </c>
      <c r="L117" s="30" t="str">
        <f>IF(OR(CtpyRating[[#This Row],[FI_RATING]]="",_xlfn.XLOOKUP(CtpyRating[[#This Row],[CPTY_NAME]],S:S,U:U,"",0)=CtpyRating[[#This Row],[FI_RATING]],CtpyRating[[#This Row],[New Rating]]="Yes"),"No","Yes")</f>
        <v>No</v>
      </c>
      <c r="M11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7" s="30" t="str">
        <f>IF(AND(CtpyRating[[#This Row],[FI_RATING]]&lt;&gt;"",_xlfn.XLOOKUP(CtpyRating[[#This Row],[CPTY_NAME]],S:S,U:U,"",0)=""),"Yes","No")</f>
        <v>No</v>
      </c>
      <c r="O117" s="30"/>
      <c r="Q117">
        <v>7</v>
      </c>
      <c r="R117">
        <v>2026</v>
      </c>
      <c r="S117" t="s">
        <v>165</v>
      </c>
      <c r="T117" t="s">
        <v>340</v>
      </c>
      <c r="U117" t="s">
        <v>248</v>
      </c>
      <c r="V117" s="34"/>
      <c r="W117"/>
      <c r="X117"/>
    </row>
    <row r="118" spans="1:24" x14ac:dyDescent="0.3">
      <c r="A118" t="s">
        <v>165</v>
      </c>
      <c r="B118" t="s">
        <v>340</v>
      </c>
      <c r="C118" t="s">
        <v>134</v>
      </c>
      <c r="E118" s="27"/>
      <c r="F118" t="s">
        <v>33</v>
      </c>
      <c r="G118" s="27">
        <v>45807</v>
      </c>
      <c r="H118" t="s">
        <v>142</v>
      </c>
      <c r="I118" s="27">
        <v>45889</v>
      </c>
      <c r="L118" s="30" t="str">
        <f>IF(OR(CtpyRating[[#This Row],[FI_RATING]]="",_xlfn.XLOOKUP(CtpyRating[[#This Row],[CPTY_NAME]],S:S,U:U,"",0)=CtpyRating[[#This Row],[FI_RATING]],CtpyRating[[#This Row],[New Rating]]="Yes"),"No","Yes")</f>
        <v>No</v>
      </c>
      <c r="M11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8" s="30" t="str">
        <f>IF(AND(CtpyRating[[#This Row],[FI_RATING]]&lt;&gt;"",_xlfn.XLOOKUP(CtpyRating[[#This Row],[CPTY_NAME]],S:S,U:U,"",0)=""),"Yes","No")</f>
        <v>No</v>
      </c>
      <c r="O118" s="30"/>
      <c r="Q118">
        <v>7</v>
      </c>
      <c r="R118">
        <v>2026</v>
      </c>
      <c r="S118" t="s">
        <v>166</v>
      </c>
      <c r="T118" t="s">
        <v>366</v>
      </c>
      <c r="U118" t="s">
        <v>248</v>
      </c>
      <c r="V118" s="34"/>
      <c r="W118"/>
      <c r="X118"/>
    </row>
    <row r="119" spans="1:24" x14ac:dyDescent="0.3">
      <c r="A119" t="s">
        <v>166</v>
      </c>
      <c r="B119" t="s">
        <v>366</v>
      </c>
      <c r="C119" t="s">
        <v>134</v>
      </c>
      <c r="E119" s="27"/>
      <c r="G119" s="27"/>
      <c r="H119" t="s">
        <v>140</v>
      </c>
      <c r="I119" s="27">
        <v>45855</v>
      </c>
      <c r="L119" s="30" t="str">
        <f>IF(OR(CtpyRating[[#This Row],[FI_RATING]]="",_xlfn.XLOOKUP(CtpyRating[[#This Row],[CPTY_NAME]],S:S,U:U,"",0)=CtpyRating[[#This Row],[FI_RATING]],CtpyRating[[#This Row],[New Rating]]="Yes"),"No","Yes")</f>
        <v>No</v>
      </c>
      <c r="M11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19" s="30" t="str">
        <f>IF(AND(CtpyRating[[#This Row],[FI_RATING]]&lt;&gt;"",_xlfn.XLOOKUP(CtpyRating[[#This Row],[CPTY_NAME]],S:S,U:U,"",0)=""),"Yes","No")</f>
        <v>No</v>
      </c>
      <c r="O119" s="30"/>
      <c r="Q119">
        <v>7</v>
      </c>
      <c r="R119">
        <v>2026</v>
      </c>
      <c r="S119" t="s">
        <v>167</v>
      </c>
      <c r="T119" t="s">
        <v>367</v>
      </c>
      <c r="U119" t="s">
        <v>248</v>
      </c>
      <c r="V119" s="34"/>
      <c r="W119"/>
      <c r="X119"/>
    </row>
    <row r="120" spans="1:24" x14ac:dyDescent="0.3">
      <c r="A120" t="s">
        <v>167</v>
      </c>
      <c r="B120" t="s">
        <v>367</v>
      </c>
      <c r="C120" t="s">
        <v>134</v>
      </c>
      <c r="E120" s="27"/>
      <c r="G120" s="27"/>
      <c r="H120" t="s">
        <v>137</v>
      </c>
      <c r="I120" s="27">
        <v>45960</v>
      </c>
      <c r="L120" s="30" t="str">
        <f>IF(OR(CtpyRating[[#This Row],[FI_RATING]]="",_xlfn.XLOOKUP(CtpyRating[[#This Row],[CPTY_NAME]],S:S,U:U,"",0)=CtpyRating[[#This Row],[FI_RATING]],CtpyRating[[#This Row],[New Rating]]="Yes"),"No","Yes")</f>
        <v>No</v>
      </c>
      <c r="M12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0" s="30" t="str">
        <f>IF(AND(CtpyRating[[#This Row],[FI_RATING]]&lt;&gt;"",_xlfn.XLOOKUP(CtpyRating[[#This Row],[CPTY_NAME]],S:S,U:U,"",0)=""),"Yes","No")</f>
        <v>No</v>
      </c>
      <c r="O120" s="30"/>
      <c r="Q120">
        <v>7</v>
      </c>
      <c r="R120">
        <v>2026</v>
      </c>
      <c r="S120" t="s">
        <v>168</v>
      </c>
      <c r="T120" t="s">
        <v>368</v>
      </c>
      <c r="U120" t="s">
        <v>52</v>
      </c>
      <c r="V120" s="34"/>
      <c r="W120"/>
      <c r="X120"/>
    </row>
    <row r="121" spans="1:24" x14ac:dyDescent="0.3">
      <c r="A121" t="s">
        <v>168</v>
      </c>
      <c r="B121" t="s">
        <v>368</v>
      </c>
      <c r="C121" t="s">
        <v>134</v>
      </c>
      <c r="D121" t="s">
        <v>52</v>
      </c>
      <c r="E121" s="27"/>
      <c r="G121" s="27"/>
      <c r="H121" t="s">
        <v>140</v>
      </c>
      <c r="I121" s="27"/>
      <c r="L121" s="30" t="str">
        <f>IF(OR(CtpyRating[[#This Row],[FI_RATING]]="",_xlfn.XLOOKUP(CtpyRating[[#This Row],[CPTY_NAME]],S:S,U:U,"",0)=CtpyRating[[#This Row],[FI_RATING]],CtpyRating[[#This Row],[New Rating]]="Yes"),"No","Yes")</f>
        <v>No</v>
      </c>
      <c r="M12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1" s="30" t="str">
        <f>IF(AND(CtpyRating[[#This Row],[FI_RATING]]&lt;&gt;"",_xlfn.XLOOKUP(CtpyRating[[#This Row],[CPTY_NAME]],S:S,U:U,"",0)=""),"Yes","No")</f>
        <v>No</v>
      </c>
      <c r="O121" s="30"/>
      <c r="Q121">
        <v>7</v>
      </c>
      <c r="R121">
        <v>2026</v>
      </c>
      <c r="S121" t="s">
        <v>169</v>
      </c>
      <c r="T121" t="s">
        <v>369</v>
      </c>
      <c r="U121" t="s">
        <v>248</v>
      </c>
      <c r="V121" s="34"/>
      <c r="W121"/>
      <c r="X121"/>
    </row>
    <row r="122" spans="1:24" x14ac:dyDescent="0.3">
      <c r="A122" t="s">
        <v>169</v>
      </c>
      <c r="B122" t="s">
        <v>369</v>
      </c>
      <c r="C122" t="s">
        <v>134</v>
      </c>
      <c r="E122" s="27"/>
      <c r="G122" s="27"/>
      <c r="H122" t="s">
        <v>142</v>
      </c>
      <c r="I122" s="27">
        <v>46094</v>
      </c>
      <c r="J122" t="s">
        <v>33</v>
      </c>
      <c r="K122">
        <v>44687</v>
      </c>
      <c r="L122" s="30" t="str">
        <f>IF(OR(CtpyRating[[#This Row],[FI_RATING]]="",_xlfn.XLOOKUP(CtpyRating[[#This Row],[CPTY_NAME]],S:S,U:U,"",0)=CtpyRating[[#This Row],[FI_RATING]],CtpyRating[[#This Row],[New Rating]]="Yes"),"No","Yes")</f>
        <v>No</v>
      </c>
      <c r="M12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2" s="30" t="str">
        <f>IF(AND(CtpyRating[[#This Row],[FI_RATING]]&lt;&gt;"",_xlfn.XLOOKUP(CtpyRating[[#This Row],[CPTY_NAME]],S:S,U:U,"",0)=""),"Yes","No")</f>
        <v>No</v>
      </c>
      <c r="O122" s="30"/>
      <c r="Q122">
        <v>7</v>
      </c>
      <c r="R122">
        <v>2026</v>
      </c>
      <c r="S122" t="s">
        <v>170</v>
      </c>
      <c r="T122" t="s">
        <v>370</v>
      </c>
      <c r="U122" t="s">
        <v>40</v>
      </c>
      <c r="V122" s="34">
        <v>45866</v>
      </c>
      <c r="W122"/>
      <c r="X122"/>
    </row>
    <row r="123" spans="1:24" x14ac:dyDescent="0.3">
      <c r="A123" t="s">
        <v>170</v>
      </c>
      <c r="B123" t="s">
        <v>370</v>
      </c>
      <c r="C123" t="s">
        <v>134</v>
      </c>
      <c r="D123" t="s">
        <v>171</v>
      </c>
      <c r="E123" s="27">
        <v>46227</v>
      </c>
      <c r="G123" s="27"/>
      <c r="I123" s="27"/>
      <c r="L123" s="30" t="str">
        <f>IF(OR(CtpyRating[[#This Row],[FI_RATING]]="",_xlfn.XLOOKUP(CtpyRating[[#This Row],[CPTY_NAME]],S:S,U:U,"",0)=CtpyRating[[#This Row],[FI_RATING]],CtpyRating[[#This Row],[New Rating]]="Yes"),"No","Yes")</f>
        <v>Yes</v>
      </c>
      <c r="M123" s="30" t="str">
        <f>IF(OR(CtpyRating[[#This Row],[FI_RATING_DATE]]="",CtpyRating[[#This Row],[FI_RATING_DATE]]=_xlfn.XLOOKUP(CtpyRating[[#This Row],[CPTY_NAME]],S:S,V:V,"",0),CtpyRating[[#This Row],[New Rating]]="Yes"),"No","Yes")</f>
        <v>Yes</v>
      </c>
      <c r="N123" s="30" t="str">
        <f>IF(AND(CtpyRating[[#This Row],[FI_RATING]]&lt;&gt;"",_xlfn.XLOOKUP(CtpyRating[[#This Row],[CPTY_NAME]],S:S,U:U,"",0)=""),"Yes","No")</f>
        <v>No</v>
      </c>
      <c r="O123" s="30"/>
      <c r="Q123">
        <v>7</v>
      </c>
      <c r="R123">
        <v>2026</v>
      </c>
      <c r="S123" t="s">
        <v>172</v>
      </c>
      <c r="T123" t="s">
        <v>371</v>
      </c>
      <c r="U123" t="s">
        <v>31</v>
      </c>
      <c r="V123" s="34"/>
      <c r="W123"/>
      <c r="X123"/>
    </row>
    <row r="124" spans="1:24" x14ac:dyDescent="0.3">
      <c r="A124" t="s">
        <v>172</v>
      </c>
      <c r="B124" t="s">
        <v>371</v>
      </c>
      <c r="C124" t="s">
        <v>134</v>
      </c>
      <c r="D124" t="s">
        <v>31</v>
      </c>
      <c r="E124" s="27"/>
      <c r="G124" s="27"/>
      <c r="I124" s="27"/>
      <c r="L124" s="30" t="str">
        <f>IF(OR(CtpyRating[[#This Row],[FI_RATING]]="",_xlfn.XLOOKUP(CtpyRating[[#This Row],[CPTY_NAME]],S:S,U:U,"",0)=CtpyRating[[#This Row],[FI_RATING]],CtpyRating[[#This Row],[New Rating]]="Yes"),"No","Yes")</f>
        <v>No</v>
      </c>
      <c r="M12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4" s="30" t="str">
        <f>IF(AND(CtpyRating[[#This Row],[FI_RATING]]&lt;&gt;"",_xlfn.XLOOKUP(CtpyRating[[#This Row],[CPTY_NAME]],S:S,U:U,"",0)=""),"Yes","No")</f>
        <v>No</v>
      </c>
      <c r="O124" s="30"/>
      <c r="Q124">
        <v>7</v>
      </c>
      <c r="R124">
        <v>2026</v>
      </c>
      <c r="S124" t="s">
        <v>173</v>
      </c>
      <c r="T124" t="s">
        <v>372</v>
      </c>
      <c r="U124" t="s">
        <v>24</v>
      </c>
      <c r="V124" s="34">
        <v>45217</v>
      </c>
      <c r="W124"/>
      <c r="X124"/>
    </row>
    <row r="125" spans="1:24" x14ac:dyDescent="0.3">
      <c r="A125" t="s">
        <v>173</v>
      </c>
      <c r="B125" t="s">
        <v>372</v>
      </c>
      <c r="C125" t="s">
        <v>134</v>
      </c>
      <c r="D125" t="s">
        <v>24</v>
      </c>
      <c r="E125" s="27">
        <v>45217</v>
      </c>
      <c r="G125" s="27"/>
      <c r="I125" s="27"/>
      <c r="L125" s="30" t="str">
        <f>IF(OR(CtpyRating[[#This Row],[FI_RATING]]="",_xlfn.XLOOKUP(CtpyRating[[#This Row],[CPTY_NAME]],S:S,U:U,"",0)=CtpyRating[[#This Row],[FI_RATING]],CtpyRating[[#This Row],[New Rating]]="Yes"),"No","Yes")</f>
        <v>No</v>
      </c>
      <c r="M12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5" s="30" t="str">
        <f>IF(AND(CtpyRating[[#This Row],[FI_RATING]]&lt;&gt;"",_xlfn.XLOOKUP(CtpyRating[[#This Row],[CPTY_NAME]],S:S,U:U,"",0)=""),"Yes","No")</f>
        <v>No</v>
      </c>
      <c r="O125" s="30"/>
      <c r="Q125">
        <v>7</v>
      </c>
      <c r="R125">
        <v>2026</v>
      </c>
      <c r="S125" t="s">
        <v>174</v>
      </c>
      <c r="T125" t="s">
        <v>373</v>
      </c>
      <c r="U125" t="s">
        <v>248</v>
      </c>
      <c r="V125" s="34"/>
      <c r="W125"/>
      <c r="X125"/>
    </row>
    <row r="126" spans="1:24" x14ac:dyDescent="0.3">
      <c r="A126" t="s">
        <v>174</v>
      </c>
      <c r="B126" t="s">
        <v>373</v>
      </c>
      <c r="C126" t="s">
        <v>134</v>
      </c>
      <c r="E126" s="27"/>
      <c r="G126" s="27"/>
      <c r="H126" t="s">
        <v>175</v>
      </c>
      <c r="I126" s="27"/>
      <c r="L126" s="30" t="str">
        <f>IF(OR(CtpyRating[[#This Row],[FI_RATING]]="",_xlfn.XLOOKUP(CtpyRating[[#This Row],[CPTY_NAME]],S:S,U:U,"",0)=CtpyRating[[#This Row],[FI_RATING]],CtpyRating[[#This Row],[New Rating]]="Yes"),"No","Yes")</f>
        <v>No</v>
      </c>
      <c r="M12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6" s="30" t="str">
        <f>IF(AND(CtpyRating[[#This Row],[FI_RATING]]&lt;&gt;"",_xlfn.XLOOKUP(CtpyRating[[#This Row],[CPTY_NAME]],S:S,U:U,"",0)=""),"Yes","No")</f>
        <v>No</v>
      </c>
      <c r="O126" s="30"/>
      <c r="Q126">
        <v>7</v>
      </c>
      <c r="R126">
        <v>2026</v>
      </c>
      <c r="S126" t="s">
        <v>177</v>
      </c>
      <c r="T126" t="s">
        <v>343</v>
      </c>
      <c r="U126" t="s">
        <v>248</v>
      </c>
      <c r="V126" s="34"/>
      <c r="W126"/>
      <c r="X126"/>
    </row>
    <row r="127" spans="1:24" x14ac:dyDescent="0.3">
      <c r="A127" t="s">
        <v>177</v>
      </c>
      <c r="B127" t="s">
        <v>343</v>
      </c>
      <c r="C127" t="s">
        <v>134</v>
      </c>
      <c r="E127" s="27"/>
      <c r="F127" t="s">
        <v>176</v>
      </c>
      <c r="G127" s="27">
        <v>45855</v>
      </c>
      <c r="H127" t="s">
        <v>163</v>
      </c>
      <c r="I127" s="27">
        <v>45608</v>
      </c>
      <c r="L127" s="30" t="str">
        <f>IF(OR(CtpyRating[[#This Row],[FI_RATING]]="",_xlfn.XLOOKUP(CtpyRating[[#This Row],[CPTY_NAME]],S:S,U:U,"",0)=CtpyRating[[#This Row],[FI_RATING]],CtpyRating[[#This Row],[New Rating]]="Yes"),"No","Yes")</f>
        <v>No</v>
      </c>
      <c r="M12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7" s="30" t="str">
        <f>IF(AND(CtpyRating[[#This Row],[FI_RATING]]&lt;&gt;"",_xlfn.XLOOKUP(CtpyRating[[#This Row],[CPTY_NAME]],S:S,U:U,"",0)=""),"Yes","No")</f>
        <v>No</v>
      </c>
      <c r="O127" s="30"/>
      <c r="Q127">
        <v>7</v>
      </c>
      <c r="R127">
        <v>2026</v>
      </c>
      <c r="S127" t="s">
        <v>178</v>
      </c>
      <c r="T127" t="s">
        <v>374</v>
      </c>
      <c r="U127" t="s">
        <v>24</v>
      </c>
      <c r="V127" s="34"/>
      <c r="W127"/>
      <c r="X127"/>
    </row>
    <row r="128" spans="1:24" x14ac:dyDescent="0.3">
      <c r="A128" t="s">
        <v>178</v>
      </c>
      <c r="B128" t="s">
        <v>374</v>
      </c>
      <c r="C128" t="s">
        <v>134</v>
      </c>
      <c r="D128" t="s">
        <v>24</v>
      </c>
      <c r="E128" s="27"/>
      <c r="G128" s="27"/>
      <c r="H128" t="s">
        <v>163</v>
      </c>
      <c r="I128" s="27"/>
      <c r="J128" t="s">
        <v>149</v>
      </c>
      <c r="L128" s="30" t="str">
        <f>IF(OR(CtpyRating[[#This Row],[FI_RATING]]="",_xlfn.XLOOKUP(CtpyRating[[#This Row],[CPTY_NAME]],S:S,U:U,"",0)=CtpyRating[[#This Row],[FI_RATING]],CtpyRating[[#This Row],[New Rating]]="Yes"),"No","Yes")</f>
        <v>No</v>
      </c>
      <c r="M12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8" s="30" t="str">
        <f>IF(AND(CtpyRating[[#This Row],[FI_RATING]]&lt;&gt;"",_xlfn.XLOOKUP(CtpyRating[[#This Row],[CPTY_NAME]],S:S,U:U,"",0)=""),"Yes","No")</f>
        <v>No</v>
      </c>
      <c r="O128" s="30"/>
      <c r="Q128">
        <v>7</v>
      </c>
      <c r="R128">
        <v>2026</v>
      </c>
      <c r="S128" t="s">
        <v>179</v>
      </c>
      <c r="T128" t="s">
        <v>375</v>
      </c>
      <c r="U128" t="s">
        <v>31</v>
      </c>
      <c r="V128" s="34"/>
      <c r="W128"/>
      <c r="X128"/>
    </row>
    <row r="129" spans="1:24" x14ac:dyDescent="0.3">
      <c r="A129" t="s">
        <v>179</v>
      </c>
      <c r="B129" t="s">
        <v>375</v>
      </c>
      <c r="C129" t="s">
        <v>134</v>
      </c>
      <c r="D129" t="s">
        <v>31</v>
      </c>
      <c r="E129" s="27"/>
      <c r="G129" s="27"/>
      <c r="I129" s="27"/>
      <c r="L129" s="30" t="str">
        <f>IF(OR(CtpyRating[[#This Row],[FI_RATING]]="",_xlfn.XLOOKUP(CtpyRating[[#This Row],[CPTY_NAME]],S:S,U:U,"",0)=CtpyRating[[#This Row],[FI_RATING]],CtpyRating[[#This Row],[New Rating]]="Yes"),"No","Yes")</f>
        <v>No</v>
      </c>
      <c r="M12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29" s="30" t="str">
        <f>IF(AND(CtpyRating[[#This Row],[FI_RATING]]&lt;&gt;"",_xlfn.XLOOKUP(CtpyRating[[#This Row],[CPTY_NAME]],S:S,U:U,"",0)=""),"Yes","No")</f>
        <v>No</v>
      </c>
      <c r="O129" s="30"/>
      <c r="Q129">
        <v>7</v>
      </c>
      <c r="R129">
        <v>2026</v>
      </c>
      <c r="S129" t="s">
        <v>180</v>
      </c>
      <c r="T129" t="s">
        <v>297</v>
      </c>
      <c r="U129" t="s">
        <v>20</v>
      </c>
      <c r="V129" s="34">
        <v>45961</v>
      </c>
      <c r="W129"/>
      <c r="X129"/>
    </row>
    <row r="130" spans="1:24" x14ac:dyDescent="0.3">
      <c r="A130" t="s">
        <v>180</v>
      </c>
      <c r="B130" t="s">
        <v>297</v>
      </c>
      <c r="C130" t="s">
        <v>71</v>
      </c>
      <c r="D130" t="s">
        <v>20</v>
      </c>
      <c r="E130" s="27">
        <v>45961</v>
      </c>
      <c r="G130" s="27"/>
      <c r="I130" s="27"/>
      <c r="L130" s="30" t="str">
        <f>IF(OR(CtpyRating[[#This Row],[FI_RATING]]="",_xlfn.XLOOKUP(CtpyRating[[#This Row],[CPTY_NAME]],S:S,U:U,"",0)=CtpyRating[[#This Row],[FI_RATING]],CtpyRating[[#This Row],[New Rating]]="Yes"),"No","Yes")</f>
        <v>No</v>
      </c>
      <c r="M13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0" s="30" t="str">
        <f>IF(AND(CtpyRating[[#This Row],[FI_RATING]]&lt;&gt;"",_xlfn.XLOOKUP(CtpyRating[[#This Row],[CPTY_NAME]],S:S,U:U,"",0)=""),"Yes","No")</f>
        <v>No</v>
      </c>
      <c r="O130" s="30"/>
      <c r="Q130">
        <v>7</v>
      </c>
      <c r="R130">
        <v>2026</v>
      </c>
      <c r="S130" t="s">
        <v>181</v>
      </c>
      <c r="T130" t="s">
        <v>376</v>
      </c>
      <c r="U130" t="s">
        <v>29</v>
      </c>
      <c r="V130" s="34"/>
      <c r="W130"/>
      <c r="X130"/>
    </row>
    <row r="131" spans="1:24" x14ac:dyDescent="0.3">
      <c r="A131" t="s">
        <v>181</v>
      </c>
      <c r="B131" t="s">
        <v>376</v>
      </c>
      <c r="C131" t="s">
        <v>71</v>
      </c>
      <c r="D131" t="s">
        <v>29</v>
      </c>
      <c r="E131" s="27"/>
      <c r="G131" s="27"/>
      <c r="I131" s="27"/>
      <c r="L131" s="30" t="str">
        <f>IF(OR(CtpyRating[[#This Row],[FI_RATING]]="",_xlfn.XLOOKUP(CtpyRating[[#This Row],[CPTY_NAME]],S:S,U:U,"",0)=CtpyRating[[#This Row],[FI_RATING]],CtpyRating[[#This Row],[New Rating]]="Yes"),"No","Yes")</f>
        <v>No</v>
      </c>
      <c r="M13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1" s="30" t="str">
        <f>IF(AND(CtpyRating[[#This Row],[FI_RATING]]&lt;&gt;"",_xlfn.XLOOKUP(CtpyRating[[#This Row],[CPTY_NAME]],S:S,U:U,"",0)=""),"Yes","No")</f>
        <v>No</v>
      </c>
      <c r="O131" s="30"/>
      <c r="Q131">
        <v>7</v>
      </c>
      <c r="R131">
        <v>2026</v>
      </c>
      <c r="S131" t="s">
        <v>473</v>
      </c>
      <c r="T131" t="s">
        <v>248</v>
      </c>
      <c r="U131" t="s">
        <v>31</v>
      </c>
      <c r="V131" s="34"/>
      <c r="W131"/>
      <c r="X131"/>
    </row>
    <row r="132" spans="1:24" x14ac:dyDescent="0.3">
      <c r="A132" t="s">
        <v>473</v>
      </c>
      <c r="C132" t="s">
        <v>17</v>
      </c>
      <c r="D132" t="s">
        <v>31</v>
      </c>
      <c r="E132" s="27"/>
      <c r="G132" s="27"/>
      <c r="I132" s="27"/>
      <c r="L132" s="30" t="str">
        <f>IF(OR(CtpyRating[[#This Row],[FI_RATING]]="",_xlfn.XLOOKUP(CtpyRating[[#This Row],[CPTY_NAME]],S:S,U:U,"",0)=CtpyRating[[#This Row],[FI_RATING]],CtpyRating[[#This Row],[New Rating]]="Yes"),"No","Yes")</f>
        <v>No</v>
      </c>
      <c r="M13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2" s="30" t="str">
        <f>IF(AND(CtpyRating[[#This Row],[FI_RATING]]&lt;&gt;"",_xlfn.XLOOKUP(CtpyRating[[#This Row],[CPTY_NAME]],S:S,U:U,"",0)=""),"Yes","No")</f>
        <v>No</v>
      </c>
      <c r="O132" s="30"/>
      <c r="Q132">
        <v>7</v>
      </c>
      <c r="R132">
        <v>2026</v>
      </c>
      <c r="S132" t="s">
        <v>183</v>
      </c>
      <c r="T132" t="s">
        <v>378</v>
      </c>
      <c r="U132" t="s">
        <v>40</v>
      </c>
      <c r="V132" s="34">
        <v>45783</v>
      </c>
      <c r="W132"/>
      <c r="X132"/>
    </row>
    <row r="133" spans="1:24" x14ac:dyDescent="0.3">
      <c r="A133" t="s">
        <v>183</v>
      </c>
      <c r="B133" t="s">
        <v>378</v>
      </c>
      <c r="C133" t="s">
        <v>51</v>
      </c>
      <c r="D133" t="s">
        <v>40</v>
      </c>
      <c r="E133" s="27">
        <v>45783</v>
      </c>
      <c r="G133" s="27"/>
      <c r="H133" t="s">
        <v>25</v>
      </c>
      <c r="I133" s="27">
        <v>45768</v>
      </c>
      <c r="L133" s="30" t="str">
        <f>IF(OR(CtpyRating[[#This Row],[FI_RATING]]="",_xlfn.XLOOKUP(CtpyRating[[#This Row],[CPTY_NAME]],S:S,U:U,"",0)=CtpyRating[[#This Row],[FI_RATING]],CtpyRating[[#This Row],[New Rating]]="Yes"),"No","Yes")</f>
        <v>No</v>
      </c>
      <c r="M13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3" s="30" t="str">
        <f>IF(AND(CtpyRating[[#This Row],[FI_RATING]]&lt;&gt;"",_xlfn.XLOOKUP(CtpyRating[[#This Row],[CPTY_NAME]],S:S,U:U,"",0)=""),"Yes","No")</f>
        <v>No</v>
      </c>
      <c r="O133" s="30"/>
      <c r="Q133">
        <v>7</v>
      </c>
      <c r="R133">
        <v>2026</v>
      </c>
      <c r="S133" t="s">
        <v>184</v>
      </c>
      <c r="T133" t="s">
        <v>379</v>
      </c>
      <c r="U133" t="s">
        <v>20</v>
      </c>
      <c r="V133" s="34">
        <v>46128</v>
      </c>
      <c r="W133"/>
      <c r="X133"/>
    </row>
    <row r="134" spans="1:24" x14ac:dyDescent="0.3">
      <c r="A134" t="s">
        <v>184</v>
      </c>
      <c r="B134" t="s">
        <v>379</v>
      </c>
      <c r="C134" t="s">
        <v>51</v>
      </c>
      <c r="D134" t="s">
        <v>20</v>
      </c>
      <c r="E134" s="27">
        <v>46128</v>
      </c>
      <c r="G134" s="27"/>
      <c r="I134" s="27"/>
      <c r="L134" s="30" t="str">
        <f>IF(OR(CtpyRating[[#This Row],[FI_RATING]]="",_xlfn.XLOOKUP(CtpyRating[[#This Row],[CPTY_NAME]],S:S,U:U,"",0)=CtpyRating[[#This Row],[FI_RATING]],CtpyRating[[#This Row],[New Rating]]="Yes"),"No","Yes")</f>
        <v>No</v>
      </c>
      <c r="M13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4" s="30" t="str">
        <f>IF(AND(CtpyRating[[#This Row],[FI_RATING]]&lt;&gt;"",_xlfn.XLOOKUP(CtpyRating[[#This Row],[CPTY_NAME]],S:S,U:U,"",0)=""),"Yes","No")</f>
        <v>No</v>
      </c>
      <c r="O134" s="30"/>
      <c r="Q134">
        <v>7</v>
      </c>
      <c r="R134">
        <v>2026</v>
      </c>
      <c r="S134" t="s">
        <v>185</v>
      </c>
      <c r="T134" t="s">
        <v>380</v>
      </c>
      <c r="U134" t="s">
        <v>24</v>
      </c>
      <c r="V134" s="34">
        <v>45562</v>
      </c>
      <c r="W134"/>
      <c r="X134"/>
    </row>
    <row r="135" spans="1:24" x14ac:dyDescent="0.3">
      <c r="A135" t="s">
        <v>185</v>
      </c>
      <c r="B135" t="s">
        <v>380</v>
      </c>
      <c r="C135" t="s">
        <v>51</v>
      </c>
      <c r="D135" t="s">
        <v>24</v>
      </c>
      <c r="E135" s="27">
        <v>45562</v>
      </c>
      <c r="G135" s="27"/>
      <c r="I135" s="27"/>
      <c r="L135" s="30" t="str">
        <f>IF(OR(CtpyRating[[#This Row],[FI_RATING]]="",_xlfn.XLOOKUP(CtpyRating[[#This Row],[CPTY_NAME]],S:S,U:U,"",0)=CtpyRating[[#This Row],[FI_RATING]],CtpyRating[[#This Row],[New Rating]]="Yes"),"No","Yes")</f>
        <v>No</v>
      </c>
      <c r="M13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5" s="30" t="str">
        <f>IF(AND(CtpyRating[[#This Row],[FI_RATING]]&lt;&gt;"",_xlfn.XLOOKUP(CtpyRating[[#This Row],[CPTY_NAME]],S:S,U:U,"",0)=""),"Yes","No")</f>
        <v>No</v>
      </c>
      <c r="O135" s="30"/>
      <c r="Q135">
        <v>7</v>
      </c>
      <c r="R135">
        <v>2026</v>
      </c>
      <c r="S135" t="s">
        <v>186</v>
      </c>
      <c r="T135" t="s">
        <v>381</v>
      </c>
      <c r="U135" t="s">
        <v>20</v>
      </c>
      <c r="V135" s="34">
        <v>46132</v>
      </c>
      <c r="W135"/>
      <c r="X135"/>
    </row>
    <row r="136" spans="1:24" x14ac:dyDescent="0.3">
      <c r="A136" t="s">
        <v>186</v>
      </c>
      <c r="B136" t="s">
        <v>381</v>
      </c>
      <c r="C136" t="s">
        <v>100</v>
      </c>
      <c r="D136" t="s">
        <v>20</v>
      </c>
      <c r="E136" s="27">
        <v>46132</v>
      </c>
      <c r="G136" s="27"/>
      <c r="I136" s="27"/>
      <c r="L136" s="30" t="str">
        <f>IF(OR(CtpyRating[[#This Row],[FI_RATING]]="",_xlfn.XLOOKUP(CtpyRating[[#This Row],[CPTY_NAME]],S:S,U:U,"",0)=CtpyRating[[#This Row],[FI_RATING]],CtpyRating[[#This Row],[New Rating]]="Yes"),"No","Yes")</f>
        <v>No</v>
      </c>
      <c r="M13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6" s="30" t="str">
        <f>IF(AND(CtpyRating[[#This Row],[FI_RATING]]&lt;&gt;"",_xlfn.XLOOKUP(CtpyRating[[#This Row],[CPTY_NAME]],S:S,U:U,"",0)=""),"Yes","No")</f>
        <v>No</v>
      </c>
      <c r="O136" s="30"/>
      <c r="Q136">
        <v>7</v>
      </c>
      <c r="R136">
        <v>2026</v>
      </c>
      <c r="S136" t="s">
        <v>187</v>
      </c>
      <c r="T136" t="s">
        <v>382</v>
      </c>
      <c r="U136" t="s">
        <v>40</v>
      </c>
      <c r="V136" s="34">
        <v>45835</v>
      </c>
      <c r="W136"/>
      <c r="X136"/>
    </row>
    <row r="137" spans="1:24" x14ac:dyDescent="0.3">
      <c r="A137" t="s">
        <v>187</v>
      </c>
      <c r="B137" t="s">
        <v>382</v>
      </c>
      <c r="C137" t="s">
        <v>17</v>
      </c>
      <c r="D137" t="s">
        <v>40</v>
      </c>
      <c r="E137" s="27">
        <v>45835</v>
      </c>
      <c r="G137" s="27"/>
      <c r="I137" s="27"/>
      <c r="L137" s="30" t="str">
        <f>IF(OR(CtpyRating[[#This Row],[FI_RATING]]="",_xlfn.XLOOKUP(CtpyRating[[#This Row],[CPTY_NAME]],S:S,U:U,"",0)=CtpyRating[[#This Row],[FI_RATING]],CtpyRating[[#This Row],[New Rating]]="Yes"),"No","Yes")</f>
        <v>No</v>
      </c>
      <c r="M13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7" s="30" t="str">
        <f>IF(AND(CtpyRating[[#This Row],[FI_RATING]]&lt;&gt;"",_xlfn.XLOOKUP(CtpyRating[[#This Row],[CPTY_NAME]],S:S,U:U,"",0)=""),"Yes","No")</f>
        <v>No</v>
      </c>
      <c r="O137" s="30"/>
      <c r="Q137">
        <v>7</v>
      </c>
      <c r="R137">
        <v>2026</v>
      </c>
      <c r="S137" t="s">
        <v>188</v>
      </c>
      <c r="T137" t="s">
        <v>383</v>
      </c>
      <c r="U137" t="s">
        <v>20</v>
      </c>
      <c r="V137" s="34">
        <v>45877</v>
      </c>
      <c r="W137"/>
      <c r="X137"/>
    </row>
    <row r="138" spans="1:24" x14ac:dyDescent="0.3">
      <c r="A138" t="s">
        <v>188</v>
      </c>
      <c r="B138" t="s">
        <v>383</v>
      </c>
      <c r="C138" t="s">
        <v>100</v>
      </c>
      <c r="D138" t="s">
        <v>20</v>
      </c>
      <c r="E138" s="27">
        <v>45877</v>
      </c>
      <c r="G138" s="27"/>
      <c r="I138" s="27"/>
      <c r="L138" s="30" t="str">
        <f>IF(OR(CtpyRating[[#This Row],[FI_RATING]]="",_xlfn.XLOOKUP(CtpyRating[[#This Row],[CPTY_NAME]],S:S,U:U,"",0)=CtpyRating[[#This Row],[FI_RATING]],CtpyRating[[#This Row],[New Rating]]="Yes"),"No","Yes")</f>
        <v>No</v>
      </c>
      <c r="M13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8" s="30" t="str">
        <f>IF(AND(CtpyRating[[#This Row],[FI_RATING]]&lt;&gt;"",_xlfn.XLOOKUP(CtpyRating[[#This Row],[CPTY_NAME]],S:S,U:U,"",0)=""),"Yes","No")</f>
        <v>No</v>
      </c>
      <c r="O138" s="30"/>
      <c r="Q138">
        <v>7</v>
      </c>
      <c r="R138">
        <v>2026</v>
      </c>
      <c r="S138" t="s">
        <v>189</v>
      </c>
      <c r="T138" t="s">
        <v>384</v>
      </c>
      <c r="U138" t="s">
        <v>20</v>
      </c>
      <c r="V138" s="34">
        <v>46190</v>
      </c>
      <c r="W138"/>
      <c r="X138"/>
    </row>
    <row r="139" spans="1:24" x14ac:dyDescent="0.3">
      <c r="A139" t="s">
        <v>189</v>
      </c>
      <c r="B139" t="s">
        <v>384</v>
      </c>
      <c r="C139" t="s">
        <v>100</v>
      </c>
      <c r="D139" t="s">
        <v>20</v>
      </c>
      <c r="E139" s="27">
        <v>46190</v>
      </c>
      <c r="G139" s="27"/>
      <c r="I139" s="27"/>
      <c r="L139" s="30" t="str">
        <f>IF(OR(CtpyRating[[#This Row],[FI_RATING]]="",_xlfn.XLOOKUP(CtpyRating[[#This Row],[CPTY_NAME]],S:S,U:U,"",0)=CtpyRating[[#This Row],[FI_RATING]],CtpyRating[[#This Row],[New Rating]]="Yes"),"No","Yes")</f>
        <v>No</v>
      </c>
      <c r="M13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39" s="30" t="str">
        <f>IF(AND(CtpyRating[[#This Row],[FI_RATING]]&lt;&gt;"",_xlfn.XLOOKUP(CtpyRating[[#This Row],[CPTY_NAME]],S:S,U:U,"",0)=""),"Yes","No")</f>
        <v>No</v>
      </c>
      <c r="O139" s="30"/>
      <c r="Q139">
        <v>7</v>
      </c>
      <c r="R139">
        <v>2026</v>
      </c>
      <c r="S139" t="s">
        <v>190</v>
      </c>
      <c r="T139" t="s">
        <v>385</v>
      </c>
      <c r="U139" t="s">
        <v>31</v>
      </c>
      <c r="V139" s="34">
        <v>45875</v>
      </c>
      <c r="W139"/>
      <c r="X139"/>
    </row>
    <row r="140" spans="1:24" x14ac:dyDescent="0.3">
      <c r="A140" t="s">
        <v>190</v>
      </c>
      <c r="B140" t="s">
        <v>385</v>
      </c>
      <c r="C140" t="s">
        <v>134</v>
      </c>
      <c r="D140" t="s">
        <v>31</v>
      </c>
      <c r="E140" s="27">
        <v>45875</v>
      </c>
      <c r="G140" s="27"/>
      <c r="I140" s="27"/>
      <c r="L140" s="30" t="str">
        <f>IF(OR(CtpyRating[[#This Row],[FI_RATING]]="",_xlfn.XLOOKUP(CtpyRating[[#This Row],[CPTY_NAME]],S:S,U:U,"",0)=CtpyRating[[#This Row],[FI_RATING]],CtpyRating[[#This Row],[New Rating]]="Yes"),"No","Yes")</f>
        <v>No</v>
      </c>
      <c r="M14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0" s="30" t="str">
        <f>IF(AND(CtpyRating[[#This Row],[FI_RATING]]&lt;&gt;"",_xlfn.XLOOKUP(CtpyRating[[#This Row],[CPTY_NAME]],S:S,U:U,"",0)=""),"Yes","No")</f>
        <v>No</v>
      </c>
      <c r="O140" s="30"/>
      <c r="Q140">
        <v>7</v>
      </c>
      <c r="R140">
        <v>2026</v>
      </c>
      <c r="S140" t="s">
        <v>191</v>
      </c>
      <c r="T140" t="s">
        <v>386</v>
      </c>
      <c r="U140" t="s">
        <v>248</v>
      </c>
      <c r="V140" s="34"/>
      <c r="W140"/>
      <c r="X140"/>
    </row>
    <row r="141" spans="1:24" x14ac:dyDescent="0.3">
      <c r="A141" t="s">
        <v>191</v>
      </c>
      <c r="B141" t="s">
        <v>386</v>
      </c>
      <c r="C141" t="s">
        <v>134</v>
      </c>
      <c r="E141" s="27"/>
      <c r="F141" t="s">
        <v>52</v>
      </c>
      <c r="G141" s="27">
        <v>45811</v>
      </c>
      <c r="H141" t="s">
        <v>146</v>
      </c>
      <c r="I141" s="27">
        <v>45978</v>
      </c>
      <c r="L141" s="30" t="str">
        <f>IF(OR(CtpyRating[[#This Row],[FI_RATING]]="",_xlfn.XLOOKUP(CtpyRating[[#This Row],[CPTY_NAME]],S:S,U:U,"",0)=CtpyRating[[#This Row],[FI_RATING]],CtpyRating[[#This Row],[New Rating]]="Yes"),"No","Yes")</f>
        <v>No</v>
      </c>
      <c r="M14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1" s="30" t="str">
        <f>IF(AND(CtpyRating[[#This Row],[FI_RATING]]&lt;&gt;"",_xlfn.XLOOKUP(CtpyRating[[#This Row],[CPTY_NAME]],S:S,U:U,"",0)=""),"Yes","No")</f>
        <v>No</v>
      </c>
      <c r="O141" s="30"/>
      <c r="Q141">
        <v>7</v>
      </c>
      <c r="R141">
        <v>2026</v>
      </c>
      <c r="S141" t="s">
        <v>192</v>
      </c>
      <c r="T141" t="s">
        <v>387</v>
      </c>
      <c r="U141" t="s">
        <v>248</v>
      </c>
      <c r="V141" s="34"/>
      <c r="W141"/>
      <c r="X141"/>
    </row>
    <row r="142" spans="1:24" x14ac:dyDescent="0.3">
      <c r="A142" t="s">
        <v>192</v>
      </c>
      <c r="B142" t="s">
        <v>387</v>
      </c>
      <c r="C142" t="s">
        <v>134</v>
      </c>
      <c r="E142" s="27"/>
      <c r="F142" t="s">
        <v>33</v>
      </c>
      <c r="G142" s="27">
        <v>45793</v>
      </c>
      <c r="H142" t="s">
        <v>142</v>
      </c>
      <c r="I142" s="27">
        <v>45979</v>
      </c>
      <c r="L142" s="30" t="str">
        <f>IF(OR(CtpyRating[[#This Row],[FI_RATING]]="",_xlfn.XLOOKUP(CtpyRating[[#This Row],[CPTY_NAME]],S:S,U:U,"",0)=CtpyRating[[#This Row],[FI_RATING]],CtpyRating[[#This Row],[New Rating]]="Yes"),"No","Yes")</f>
        <v>No</v>
      </c>
      <c r="M14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2" s="30" t="str">
        <f>IF(AND(CtpyRating[[#This Row],[FI_RATING]]&lt;&gt;"",_xlfn.XLOOKUP(CtpyRating[[#This Row],[CPTY_NAME]],S:S,U:U,"",0)=""),"Yes","No")</f>
        <v>No</v>
      </c>
      <c r="O142" s="30"/>
      <c r="Q142">
        <v>7</v>
      </c>
      <c r="R142">
        <v>2026</v>
      </c>
      <c r="S142" t="s">
        <v>193</v>
      </c>
      <c r="T142" t="s">
        <v>388</v>
      </c>
      <c r="U142" t="s">
        <v>248</v>
      </c>
      <c r="V142" s="34"/>
      <c r="W142"/>
      <c r="X142"/>
    </row>
    <row r="143" spans="1:24" x14ac:dyDescent="0.3">
      <c r="A143" t="s">
        <v>193</v>
      </c>
      <c r="B143" t="s">
        <v>388</v>
      </c>
      <c r="C143" t="s">
        <v>134</v>
      </c>
      <c r="E143" s="27"/>
      <c r="G143" s="27"/>
      <c r="H143" t="s">
        <v>137</v>
      </c>
      <c r="I143" s="27">
        <v>45831</v>
      </c>
      <c r="L143" s="30" t="str">
        <f>IF(OR(CtpyRating[[#This Row],[FI_RATING]]="",_xlfn.XLOOKUP(CtpyRating[[#This Row],[CPTY_NAME]],S:S,U:U,"",0)=CtpyRating[[#This Row],[FI_RATING]],CtpyRating[[#This Row],[New Rating]]="Yes"),"No","Yes")</f>
        <v>No</v>
      </c>
      <c r="M14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3" s="30" t="str">
        <f>IF(AND(CtpyRating[[#This Row],[FI_RATING]]&lt;&gt;"",_xlfn.XLOOKUP(CtpyRating[[#This Row],[CPTY_NAME]],S:S,U:U,"",0)=""),"Yes","No")</f>
        <v>No</v>
      </c>
      <c r="O143" s="30"/>
      <c r="Q143">
        <v>7</v>
      </c>
      <c r="R143">
        <v>2026</v>
      </c>
      <c r="S143" t="s">
        <v>194</v>
      </c>
      <c r="T143" t="s">
        <v>389</v>
      </c>
      <c r="U143" t="s">
        <v>18</v>
      </c>
      <c r="V143" s="34">
        <v>45747</v>
      </c>
      <c r="W143"/>
      <c r="X143"/>
    </row>
    <row r="144" spans="1:24" x14ac:dyDescent="0.3">
      <c r="A144" t="s">
        <v>194</v>
      </c>
      <c r="B144" t="s">
        <v>389</v>
      </c>
      <c r="C144" t="s">
        <v>51</v>
      </c>
      <c r="D144" t="s">
        <v>18</v>
      </c>
      <c r="E144" s="27">
        <v>45747</v>
      </c>
      <c r="F144" t="s">
        <v>62</v>
      </c>
      <c r="G144" s="27">
        <v>45614</v>
      </c>
      <c r="I144" s="27"/>
      <c r="L144" s="30" t="str">
        <f>IF(OR(CtpyRating[[#This Row],[FI_RATING]]="",_xlfn.XLOOKUP(CtpyRating[[#This Row],[CPTY_NAME]],S:S,U:U,"",0)=CtpyRating[[#This Row],[FI_RATING]],CtpyRating[[#This Row],[New Rating]]="Yes"),"No","Yes")</f>
        <v>No</v>
      </c>
      <c r="M14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4" s="30" t="str">
        <f>IF(AND(CtpyRating[[#This Row],[FI_RATING]]&lt;&gt;"",_xlfn.XLOOKUP(CtpyRating[[#This Row],[CPTY_NAME]],S:S,U:U,"",0)=""),"Yes","No")</f>
        <v>No</v>
      </c>
      <c r="O144" s="30"/>
      <c r="Q144">
        <v>7</v>
      </c>
      <c r="R144">
        <v>2026</v>
      </c>
      <c r="S144" t="s">
        <v>195</v>
      </c>
      <c r="T144" t="s">
        <v>390</v>
      </c>
      <c r="U144" t="s">
        <v>248</v>
      </c>
      <c r="V144" s="34"/>
      <c r="W144"/>
      <c r="X144"/>
    </row>
    <row r="145" spans="1:24" x14ac:dyDescent="0.3">
      <c r="A145" t="s">
        <v>195</v>
      </c>
      <c r="B145" t="s">
        <v>390</v>
      </c>
      <c r="C145" t="s">
        <v>134</v>
      </c>
      <c r="E145" s="27"/>
      <c r="G145" s="27"/>
      <c r="H145" t="s">
        <v>163</v>
      </c>
      <c r="I145" s="27">
        <v>45420</v>
      </c>
      <c r="L145" s="30" t="str">
        <f>IF(OR(CtpyRating[[#This Row],[FI_RATING]]="",_xlfn.XLOOKUP(CtpyRating[[#This Row],[CPTY_NAME]],S:S,U:U,"",0)=CtpyRating[[#This Row],[FI_RATING]],CtpyRating[[#This Row],[New Rating]]="Yes"),"No","Yes")</f>
        <v>No</v>
      </c>
      <c r="M14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5" s="30" t="str">
        <f>IF(AND(CtpyRating[[#This Row],[FI_RATING]]&lt;&gt;"",_xlfn.XLOOKUP(CtpyRating[[#This Row],[CPTY_NAME]],S:S,U:U,"",0)=""),"Yes","No")</f>
        <v>No</v>
      </c>
      <c r="O145" s="30"/>
      <c r="Q145">
        <v>7</v>
      </c>
      <c r="R145">
        <v>2026</v>
      </c>
      <c r="S145" t="s">
        <v>196</v>
      </c>
      <c r="T145" t="s">
        <v>391</v>
      </c>
      <c r="U145" t="s">
        <v>248</v>
      </c>
      <c r="V145" s="34"/>
      <c r="W145"/>
      <c r="X145"/>
    </row>
    <row r="146" spans="1:24" x14ac:dyDescent="0.3">
      <c r="A146" t="s">
        <v>196</v>
      </c>
      <c r="B146" t="s">
        <v>391</v>
      </c>
      <c r="C146" t="s">
        <v>134</v>
      </c>
      <c r="E146" s="27"/>
      <c r="G146" s="27"/>
      <c r="H146" t="s">
        <v>142</v>
      </c>
      <c r="I146" s="27"/>
      <c r="L146" s="30" t="str">
        <f>IF(OR(CtpyRating[[#This Row],[FI_RATING]]="",_xlfn.XLOOKUP(CtpyRating[[#This Row],[CPTY_NAME]],S:S,U:U,"",0)=CtpyRating[[#This Row],[FI_RATING]],CtpyRating[[#This Row],[New Rating]]="Yes"),"No","Yes")</f>
        <v>No</v>
      </c>
      <c r="M14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6" s="30" t="str">
        <f>IF(AND(CtpyRating[[#This Row],[FI_RATING]]&lt;&gt;"",_xlfn.XLOOKUP(CtpyRating[[#This Row],[CPTY_NAME]],S:S,U:U,"",0)=""),"Yes","No")</f>
        <v>No</v>
      </c>
      <c r="O146" s="30"/>
      <c r="Q146">
        <v>7</v>
      </c>
      <c r="R146">
        <v>2026</v>
      </c>
      <c r="S146" t="s">
        <v>197</v>
      </c>
      <c r="T146" t="s">
        <v>392</v>
      </c>
      <c r="U146" t="s">
        <v>248</v>
      </c>
      <c r="V146" s="34"/>
      <c r="W146"/>
      <c r="X146"/>
    </row>
    <row r="147" spans="1:24" x14ac:dyDescent="0.3">
      <c r="A147" t="s">
        <v>197</v>
      </c>
      <c r="B147" t="s">
        <v>392</v>
      </c>
      <c r="C147" t="s">
        <v>134</v>
      </c>
      <c r="E147" s="27"/>
      <c r="F147" t="s">
        <v>33</v>
      </c>
      <c r="G147" s="27">
        <v>45797</v>
      </c>
      <c r="H147" t="s">
        <v>142</v>
      </c>
      <c r="I147" s="27">
        <v>45265</v>
      </c>
      <c r="J147" t="s">
        <v>33</v>
      </c>
      <c r="K147">
        <v>45621</v>
      </c>
      <c r="L147" s="30" t="str">
        <f>IF(OR(CtpyRating[[#This Row],[FI_RATING]]="",_xlfn.XLOOKUP(CtpyRating[[#This Row],[CPTY_NAME]],S:S,U:U,"",0)=CtpyRating[[#This Row],[FI_RATING]],CtpyRating[[#This Row],[New Rating]]="Yes"),"No","Yes")</f>
        <v>No</v>
      </c>
      <c r="M14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7" s="30" t="str">
        <f>IF(AND(CtpyRating[[#This Row],[FI_RATING]]&lt;&gt;"",_xlfn.XLOOKUP(CtpyRating[[#This Row],[CPTY_NAME]],S:S,U:U,"",0)=""),"Yes","No")</f>
        <v>No</v>
      </c>
      <c r="O147" s="30"/>
      <c r="Q147">
        <v>7</v>
      </c>
      <c r="R147">
        <v>2026</v>
      </c>
      <c r="S147" t="s">
        <v>198</v>
      </c>
      <c r="T147" t="s">
        <v>393</v>
      </c>
      <c r="U147" t="s">
        <v>248</v>
      </c>
      <c r="V147" s="34"/>
      <c r="W147"/>
      <c r="X147"/>
    </row>
    <row r="148" spans="1:24" x14ac:dyDescent="0.3">
      <c r="A148" t="s">
        <v>198</v>
      </c>
      <c r="B148" t="s">
        <v>393</v>
      </c>
      <c r="C148" t="s">
        <v>134</v>
      </c>
      <c r="E148" s="27"/>
      <c r="F148" t="s">
        <v>139</v>
      </c>
      <c r="G148" s="27">
        <v>45981</v>
      </c>
      <c r="H148" t="s">
        <v>140</v>
      </c>
      <c r="I148" s="27">
        <v>45979</v>
      </c>
      <c r="L148" s="30" t="str">
        <f>IF(OR(CtpyRating[[#This Row],[FI_RATING]]="",_xlfn.XLOOKUP(CtpyRating[[#This Row],[CPTY_NAME]],S:S,U:U,"",0)=CtpyRating[[#This Row],[FI_RATING]],CtpyRating[[#This Row],[New Rating]]="Yes"),"No","Yes")</f>
        <v>No</v>
      </c>
      <c r="M14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8" s="30" t="str">
        <f>IF(AND(CtpyRating[[#This Row],[FI_RATING]]&lt;&gt;"",_xlfn.XLOOKUP(CtpyRating[[#This Row],[CPTY_NAME]],S:S,U:U,"",0)=""),"Yes","No")</f>
        <v>No</v>
      </c>
      <c r="O148" s="30"/>
      <c r="Q148">
        <v>7</v>
      </c>
      <c r="R148">
        <v>2026</v>
      </c>
      <c r="S148" t="s">
        <v>199</v>
      </c>
      <c r="T148" t="s">
        <v>394</v>
      </c>
      <c r="U148" t="s">
        <v>248</v>
      </c>
      <c r="V148" s="34"/>
      <c r="W148"/>
      <c r="X148"/>
    </row>
    <row r="149" spans="1:24" x14ac:dyDescent="0.3">
      <c r="A149" t="s">
        <v>199</v>
      </c>
      <c r="B149" t="s">
        <v>394</v>
      </c>
      <c r="C149" t="s">
        <v>134</v>
      </c>
      <c r="E149" s="27"/>
      <c r="F149" t="s">
        <v>176</v>
      </c>
      <c r="G149" s="27">
        <v>46153</v>
      </c>
      <c r="I149" s="27"/>
      <c r="L149" s="30" t="str">
        <f>IF(OR(CtpyRating[[#This Row],[FI_RATING]]="",_xlfn.XLOOKUP(CtpyRating[[#This Row],[CPTY_NAME]],S:S,U:U,"",0)=CtpyRating[[#This Row],[FI_RATING]],CtpyRating[[#This Row],[New Rating]]="Yes"),"No","Yes")</f>
        <v>No</v>
      </c>
      <c r="M14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49" s="30" t="str">
        <f>IF(AND(CtpyRating[[#This Row],[FI_RATING]]&lt;&gt;"",_xlfn.XLOOKUP(CtpyRating[[#This Row],[CPTY_NAME]],S:S,U:U,"",0)=""),"Yes","No")</f>
        <v>No</v>
      </c>
      <c r="O149" s="30"/>
      <c r="Q149">
        <v>7</v>
      </c>
      <c r="R149">
        <v>2026</v>
      </c>
      <c r="S149" t="s">
        <v>200</v>
      </c>
      <c r="T149" t="s">
        <v>395</v>
      </c>
      <c r="U149" t="s">
        <v>33</v>
      </c>
      <c r="V149" s="34"/>
      <c r="W149"/>
      <c r="X149"/>
    </row>
    <row r="150" spans="1:24" x14ac:dyDescent="0.3">
      <c r="A150" t="s">
        <v>200</v>
      </c>
      <c r="B150" t="s">
        <v>395</v>
      </c>
      <c r="C150" t="s">
        <v>51</v>
      </c>
      <c r="D150" t="s">
        <v>33</v>
      </c>
      <c r="E150" s="27"/>
      <c r="G150" s="27"/>
      <c r="I150" s="27"/>
      <c r="L150" s="30" t="str">
        <f>IF(OR(CtpyRating[[#This Row],[FI_RATING]]="",_xlfn.XLOOKUP(CtpyRating[[#This Row],[CPTY_NAME]],S:S,U:U,"",0)=CtpyRating[[#This Row],[FI_RATING]],CtpyRating[[#This Row],[New Rating]]="Yes"),"No","Yes")</f>
        <v>No</v>
      </c>
      <c r="M15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0" s="30" t="str">
        <f>IF(AND(CtpyRating[[#This Row],[FI_RATING]]&lt;&gt;"",_xlfn.XLOOKUP(CtpyRating[[#This Row],[CPTY_NAME]],S:S,U:U,"",0)=""),"Yes","No")</f>
        <v>No</v>
      </c>
      <c r="O150" s="30"/>
      <c r="Q150">
        <v>7</v>
      </c>
      <c r="R150">
        <v>2026</v>
      </c>
      <c r="S150" t="s">
        <v>201</v>
      </c>
      <c r="T150" t="s">
        <v>396</v>
      </c>
      <c r="U150" t="s">
        <v>248</v>
      </c>
      <c r="V150" s="34"/>
      <c r="W150"/>
      <c r="X150"/>
    </row>
    <row r="151" spans="1:24" x14ac:dyDescent="0.3">
      <c r="A151" t="s">
        <v>201</v>
      </c>
      <c r="B151" t="s">
        <v>396</v>
      </c>
      <c r="C151" t="s">
        <v>134</v>
      </c>
      <c r="E151" s="27"/>
      <c r="G151" s="27"/>
      <c r="I151" s="27"/>
      <c r="J151" t="s">
        <v>149</v>
      </c>
      <c r="K151">
        <v>45820</v>
      </c>
      <c r="L151" s="30" t="str">
        <f>IF(OR(CtpyRating[[#This Row],[FI_RATING]]="",_xlfn.XLOOKUP(CtpyRating[[#This Row],[CPTY_NAME]],S:S,U:U,"",0)=CtpyRating[[#This Row],[FI_RATING]],CtpyRating[[#This Row],[New Rating]]="Yes"),"No","Yes")</f>
        <v>No</v>
      </c>
      <c r="M15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1" s="30" t="str">
        <f>IF(AND(CtpyRating[[#This Row],[FI_RATING]]&lt;&gt;"",_xlfn.XLOOKUP(CtpyRating[[#This Row],[CPTY_NAME]],S:S,U:U,"",0)=""),"Yes","No")</f>
        <v>No</v>
      </c>
      <c r="O151" s="30"/>
      <c r="Q151">
        <v>7</v>
      </c>
      <c r="R151">
        <v>2026</v>
      </c>
      <c r="S151" t="s">
        <v>202</v>
      </c>
      <c r="T151" t="s">
        <v>397</v>
      </c>
      <c r="U151" t="s">
        <v>248</v>
      </c>
      <c r="V151" s="34"/>
      <c r="W151"/>
      <c r="X151"/>
    </row>
    <row r="152" spans="1:24" x14ac:dyDescent="0.3">
      <c r="A152" t="s">
        <v>202</v>
      </c>
      <c r="B152" t="s">
        <v>397</v>
      </c>
      <c r="C152" t="s">
        <v>134</v>
      </c>
      <c r="E152" s="27"/>
      <c r="G152" s="27"/>
      <c r="I152" s="27"/>
      <c r="L152" s="30" t="str">
        <f>IF(OR(CtpyRating[[#This Row],[FI_RATING]]="",_xlfn.XLOOKUP(CtpyRating[[#This Row],[CPTY_NAME]],S:S,U:U,"",0)=CtpyRating[[#This Row],[FI_RATING]],CtpyRating[[#This Row],[New Rating]]="Yes"),"No","Yes")</f>
        <v>No</v>
      </c>
      <c r="M15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2" s="30" t="str">
        <f>IF(AND(CtpyRating[[#This Row],[FI_RATING]]&lt;&gt;"",_xlfn.XLOOKUP(CtpyRating[[#This Row],[CPTY_NAME]],S:S,U:U,"",0)=""),"Yes","No")</f>
        <v>No</v>
      </c>
      <c r="O152" s="30"/>
      <c r="Q152">
        <v>7</v>
      </c>
      <c r="R152">
        <v>2026</v>
      </c>
      <c r="S152" t="s">
        <v>203</v>
      </c>
      <c r="T152" t="s">
        <v>398</v>
      </c>
      <c r="U152" t="s">
        <v>248</v>
      </c>
      <c r="V152" s="34"/>
      <c r="W152"/>
      <c r="X152"/>
    </row>
    <row r="153" spans="1:24" x14ac:dyDescent="0.3">
      <c r="A153" t="s">
        <v>203</v>
      </c>
      <c r="B153" t="s">
        <v>398</v>
      </c>
      <c r="C153" t="s">
        <v>134</v>
      </c>
      <c r="E153" s="27"/>
      <c r="F153" t="s">
        <v>33</v>
      </c>
      <c r="G153" s="27">
        <v>45952</v>
      </c>
      <c r="H153" t="s">
        <v>140</v>
      </c>
      <c r="I153" s="27">
        <v>45953</v>
      </c>
      <c r="L153" s="30" t="str">
        <f>IF(OR(CtpyRating[[#This Row],[FI_RATING]]="",_xlfn.XLOOKUP(CtpyRating[[#This Row],[CPTY_NAME]],S:S,U:U,"",0)=CtpyRating[[#This Row],[FI_RATING]],CtpyRating[[#This Row],[New Rating]]="Yes"),"No","Yes")</f>
        <v>No</v>
      </c>
      <c r="M15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3" s="30" t="str">
        <f>IF(AND(CtpyRating[[#This Row],[FI_RATING]]&lt;&gt;"",_xlfn.XLOOKUP(CtpyRating[[#This Row],[CPTY_NAME]],S:S,U:U,"",0)=""),"Yes","No")</f>
        <v>No</v>
      </c>
      <c r="O153" s="30"/>
      <c r="Q153">
        <v>7</v>
      </c>
      <c r="R153">
        <v>2026</v>
      </c>
      <c r="S153" t="s">
        <v>204</v>
      </c>
      <c r="T153" t="s">
        <v>399</v>
      </c>
      <c r="U153" t="s">
        <v>20</v>
      </c>
      <c r="V153" s="34"/>
      <c r="W153"/>
      <c r="X153"/>
    </row>
    <row r="154" spans="1:24" x14ac:dyDescent="0.3">
      <c r="A154" t="s">
        <v>204</v>
      </c>
      <c r="B154" t="s">
        <v>399</v>
      </c>
      <c r="C154" t="s">
        <v>134</v>
      </c>
      <c r="D154" t="s">
        <v>20</v>
      </c>
      <c r="E154" s="27"/>
      <c r="F154" t="s">
        <v>20</v>
      </c>
      <c r="G154" s="27"/>
      <c r="H154" t="s">
        <v>142</v>
      </c>
      <c r="I154" s="27"/>
      <c r="L154" s="30" t="str">
        <f>IF(OR(CtpyRating[[#This Row],[FI_RATING]]="",_xlfn.XLOOKUP(CtpyRating[[#This Row],[CPTY_NAME]],S:S,U:U,"",0)=CtpyRating[[#This Row],[FI_RATING]],CtpyRating[[#This Row],[New Rating]]="Yes"),"No","Yes")</f>
        <v>No</v>
      </c>
      <c r="M15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4" s="30" t="str">
        <f>IF(AND(CtpyRating[[#This Row],[FI_RATING]]&lt;&gt;"",_xlfn.XLOOKUP(CtpyRating[[#This Row],[CPTY_NAME]],S:S,U:U,"",0)=""),"Yes","No")</f>
        <v>No</v>
      </c>
      <c r="O154" s="30"/>
      <c r="Q154">
        <v>7</v>
      </c>
      <c r="R154">
        <v>2026</v>
      </c>
      <c r="S154" t="s">
        <v>205</v>
      </c>
      <c r="T154" t="s">
        <v>400</v>
      </c>
      <c r="U154" t="s">
        <v>24</v>
      </c>
      <c r="V154" s="34">
        <v>45854</v>
      </c>
      <c r="W154"/>
      <c r="X154"/>
    </row>
    <row r="155" spans="1:24" x14ac:dyDescent="0.3">
      <c r="A155" t="s">
        <v>205</v>
      </c>
      <c r="B155" t="s">
        <v>400</v>
      </c>
      <c r="C155" t="s">
        <v>51</v>
      </c>
      <c r="D155" t="s">
        <v>24</v>
      </c>
      <c r="E155" s="27">
        <v>45854</v>
      </c>
      <c r="G155" s="27"/>
      <c r="I155" s="27"/>
      <c r="L155" s="30" t="str">
        <f>IF(OR(CtpyRating[[#This Row],[FI_RATING]]="",_xlfn.XLOOKUP(CtpyRating[[#This Row],[CPTY_NAME]],S:S,U:U,"",0)=CtpyRating[[#This Row],[FI_RATING]],CtpyRating[[#This Row],[New Rating]]="Yes"),"No","Yes")</f>
        <v>No</v>
      </c>
      <c r="M15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5" s="30" t="str">
        <f>IF(AND(CtpyRating[[#This Row],[FI_RATING]]&lt;&gt;"",_xlfn.XLOOKUP(CtpyRating[[#This Row],[CPTY_NAME]],S:S,U:U,"",0)=""),"Yes","No")</f>
        <v>No</v>
      </c>
      <c r="O155" s="30"/>
      <c r="Q155">
        <v>7</v>
      </c>
      <c r="R155">
        <v>2026</v>
      </c>
      <c r="S155" t="s">
        <v>206</v>
      </c>
      <c r="T155" t="s">
        <v>401</v>
      </c>
      <c r="U155" t="s">
        <v>40</v>
      </c>
      <c r="V155" s="34">
        <v>44791</v>
      </c>
      <c r="W155"/>
      <c r="X155"/>
    </row>
    <row r="156" spans="1:24" x14ac:dyDescent="0.3">
      <c r="A156" t="s">
        <v>206</v>
      </c>
      <c r="B156" t="s">
        <v>401</v>
      </c>
      <c r="C156" t="s">
        <v>51</v>
      </c>
      <c r="D156" t="s">
        <v>40</v>
      </c>
      <c r="E156" s="27">
        <v>44791</v>
      </c>
      <c r="G156" s="27"/>
      <c r="I156" s="27"/>
      <c r="L156" s="30" t="str">
        <f>IF(OR(CtpyRating[[#This Row],[FI_RATING]]="",_xlfn.XLOOKUP(CtpyRating[[#This Row],[CPTY_NAME]],S:S,U:U,"",0)=CtpyRating[[#This Row],[FI_RATING]],CtpyRating[[#This Row],[New Rating]]="Yes"),"No","Yes")</f>
        <v>No</v>
      </c>
      <c r="M15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6" s="30" t="str">
        <f>IF(AND(CtpyRating[[#This Row],[FI_RATING]]&lt;&gt;"",_xlfn.XLOOKUP(CtpyRating[[#This Row],[CPTY_NAME]],S:S,U:U,"",0)=""),"Yes","No")</f>
        <v>No</v>
      </c>
      <c r="O156" s="30"/>
      <c r="Q156">
        <v>7</v>
      </c>
      <c r="R156">
        <v>2026</v>
      </c>
      <c r="S156" t="s">
        <v>207</v>
      </c>
      <c r="T156" t="s">
        <v>402</v>
      </c>
      <c r="U156" t="s">
        <v>31</v>
      </c>
      <c r="V156" s="34"/>
      <c r="W156"/>
      <c r="X156"/>
    </row>
    <row r="157" spans="1:24" x14ac:dyDescent="0.3">
      <c r="A157" t="s">
        <v>207</v>
      </c>
      <c r="B157" t="s">
        <v>402</v>
      </c>
      <c r="C157" t="s">
        <v>71</v>
      </c>
      <c r="D157" t="s">
        <v>31</v>
      </c>
      <c r="E157" s="27"/>
      <c r="G157" s="27"/>
      <c r="I157" s="27"/>
      <c r="L157" s="30" t="str">
        <f>IF(OR(CtpyRating[[#This Row],[FI_RATING]]="",_xlfn.XLOOKUP(CtpyRating[[#This Row],[CPTY_NAME]],S:S,U:U,"",0)=CtpyRating[[#This Row],[FI_RATING]],CtpyRating[[#This Row],[New Rating]]="Yes"),"No","Yes")</f>
        <v>No</v>
      </c>
      <c r="M15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7" s="30" t="str">
        <f>IF(AND(CtpyRating[[#This Row],[FI_RATING]]&lt;&gt;"",_xlfn.XLOOKUP(CtpyRating[[#This Row],[CPTY_NAME]],S:S,U:U,"",0)=""),"Yes","No")</f>
        <v>No</v>
      </c>
      <c r="O157" s="30"/>
      <c r="Q157">
        <v>7</v>
      </c>
      <c r="R157">
        <v>2026</v>
      </c>
      <c r="S157" t="s">
        <v>244</v>
      </c>
      <c r="T157" t="s">
        <v>248</v>
      </c>
      <c r="U157" t="s">
        <v>31</v>
      </c>
      <c r="V157" s="34"/>
      <c r="W157"/>
      <c r="X157"/>
    </row>
    <row r="158" spans="1:24" x14ac:dyDescent="0.3">
      <c r="A158" t="s">
        <v>244</v>
      </c>
      <c r="B158" t="s">
        <v>403</v>
      </c>
      <c r="C158" t="s">
        <v>17</v>
      </c>
      <c r="D158" t="s">
        <v>31</v>
      </c>
      <c r="E158" s="27"/>
      <c r="G158" s="27"/>
      <c r="I158" s="27"/>
      <c r="L158" s="30" t="str">
        <f>IF(OR(CtpyRating[[#This Row],[FI_RATING]]="",_xlfn.XLOOKUP(CtpyRating[[#This Row],[CPTY_NAME]],S:S,U:U,"",0)=CtpyRating[[#This Row],[FI_RATING]],CtpyRating[[#This Row],[New Rating]]="Yes"),"No","Yes")</f>
        <v>No</v>
      </c>
      <c r="M15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8" s="30" t="str">
        <f>IF(AND(CtpyRating[[#This Row],[FI_RATING]]&lt;&gt;"",_xlfn.XLOOKUP(CtpyRating[[#This Row],[CPTY_NAME]],S:S,U:U,"",0)=""),"Yes","No")</f>
        <v>No</v>
      </c>
      <c r="O158" s="30"/>
      <c r="Q158">
        <v>7</v>
      </c>
      <c r="R158">
        <v>2026</v>
      </c>
      <c r="S158" t="s">
        <v>209</v>
      </c>
      <c r="T158" t="s">
        <v>404</v>
      </c>
      <c r="U158" t="s">
        <v>248</v>
      </c>
      <c r="V158" s="34"/>
      <c r="W158"/>
      <c r="X158"/>
    </row>
    <row r="159" spans="1:24" x14ac:dyDescent="0.3">
      <c r="A159" t="s">
        <v>209</v>
      </c>
      <c r="B159" t="s">
        <v>404</v>
      </c>
      <c r="C159" t="s">
        <v>17</v>
      </c>
      <c r="E159" s="27"/>
      <c r="G159" s="27"/>
      <c r="I159" s="27"/>
      <c r="L159" s="30" t="str">
        <f>IF(OR(CtpyRating[[#This Row],[FI_RATING]]="",_xlfn.XLOOKUP(CtpyRating[[#This Row],[CPTY_NAME]],S:S,U:U,"",0)=CtpyRating[[#This Row],[FI_RATING]],CtpyRating[[#This Row],[New Rating]]="Yes"),"No","Yes")</f>
        <v>No</v>
      </c>
      <c r="M15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59" s="30" t="str">
        <f>IF(AND(CtpyRating[[#This Row],[FI_RATING]]&lt;&gt;"",_xlfn.XLOOKUP(CtpyRating[[#This Row],[CPTY_NAME]],S:S,U:U,"",0)=""),"Yes","No")</f>
        <v>No</v>
      </c>
      <c r="O159" s="30"/>
      <c r="Q159">
        <v>7</v>
      </c>
      <c r="R159">
        <v>2026</v>
      </c>
      <c r="S159" t="s">
        <v>210</v>
      </c>
      <c r="T159" t="s">
        <v>405</v>
      </c>
      <c r="U159" t="s">
        <v>248</v>
      </c>
      <c r="V159" s="34"/>
      <c r="W159"/>
      <c r="X159"/>
    </row>
    <row r="160" spans="1:24" x14ac:dyDescent="0.3">
      <c r="A160" t="s">
        <v>210</v>
      </c>
      <c r="B160" t="s">
        <v>405</v>
      </c>
      <c r="C160" t="s">
        <v>134</v>
      </c>
      <c r="E160" s="27"/>
      <c r="F160" t="s">
        <v>33</v>
      </c>
      <c r="G160" s="27">
        <v>45806</v>
      </c>
      <c r="H160" t="s">
        <v>163</v>
      </c>
      <c r="I160" s="27">
        <v>45435</v>
      </c>
      <c r="J160" t="s">
        <v>33</v>
      </c>
      <c r="K160">
        <v>45043</v>
      </c>
      <c r="L160" s="30" t="str">
        <f>IF(OR(CtpyRating[[#This Row],[FI_RATING]]="",_xlfn.XLOOKUP(CtpyRating[[#This Row],[CPTY_NAME]],S:S,U:U,"",0)=CtpyRating[[#This Row],[FI_RATING]],CtpyRating[[#This Row],[New Rating]]="Yes"),"No","Yes")</f>
        <v>No</v>
      </c>
      <c r="M16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0" s="30" t="str">
        <f>IF(AND(CtpyRating[[#This Row],[FI_RATING]]&lt;&gt;"",_xlfn.XLOOKUP(CtpyRating[[#This Row],[CPTY_NAME]],S:S,U:U,"",0)=""),"Yes","No")</f>
        <v>No</v>
      </c>
      <c r="O160" s="30"/>
      <c r="Q160">
        <v>7</v>
      </c>
      <c r="R160">
        <v>2026</v>
      </c>
      <c r="S160" t="s">
        <v>211</v>
      </c>
      <c r="T160" t="s">
        <v>406</v>
      </c>
      <c r="U160" t="s">
        <v>20</v>
      </c>
      <c r="V160" s="34">
        <v>46133</v>
      </c>
      <c r="W160"/>
      <c r="X160"/>
    </row>
    <row r="161" spans="1:24" x14ac:dyDescent="0.3">
      <c r="A161" t="s">
        <v>211</v>
      </c>
      <c r="B161" t="s">
        <v>406</v>
      </c>
      <c r="C161" t="s">
        <v>100</v>
      </c>
      <c r="D161" t="s">
        <v>20</v>
      </c>
      <c r="E161" s="27">
        <v>46133</v>
      </c>
      <c r="G161" s="27"/>
      <c r="I161" s="27"/>
      <c r="L161" s="30" t="str">
        <f>IF(OR(CtpyRating[[#This Row],[FI_RATING]]="",_xlfn.XLOOKUP(CtpyRating[[#This Row],[CPTY_NAME]],S:S,U:U,"",0)=CtpyRating[[#This Row],[FI_RATING]],CtpyRating[[#This Row],[New Rating]]="Yes"),"No","Yes")</f>
        <v>No</v>
      </c>
      <c r="M16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1" s="30" t="str">
        <f>IF(AND(CtpyRating[[#This Row],[FI_RATING]]&lt;&gt;"",_xlfn.XLOOKUP(CtpyRating[[#This Row],[CPTY_NAME]],S:S,U:U,"",0)=""),"Yes","No")</f>
        <v>No</v>
      </c>
      <c r="O161" s="30"/>
      <c r="Q161">
        <v>7</v>
      </c>
      <c r="R161">
        <v>2026</v>
      </c>
      <c r="S161" t="s">
        <v>212</v>
      </c>
      <c r="T161" t="s">
        <v>407</v>
      </c>
      <c r="U161" t="s">
        <v>20</v>
      </c>
      <c r="V161" s="34">
        <v>46115</v>
      </c>
      <c r="W161"/>
      <c r="X161"/>
    </row>
    <row r="162" spans="1:24" x14ac:dyDescent="0.3">
      <c r="A162" t="s">
        <v>212</v>
      </c>
      <c r="B162" t="s">
        <v>407</v>
      </c>
      <c r="C162" t="s">
        <v>100</v>
      </c>
      <c r="D162" t="s">
        <v>20</v>
      </c>
      <c r="E162" s="27">
        <v>46115</v>
      </c>
      <c r="G162" s="27"/>
      <c r="I162" s="27"/>
      <c r="L162" s="30" t="str">
        <f>IF(OR(CtpyRating[[#This Row],[FI_RATING]]="",_xlfn.XLOOKUP(CtpyRating[[#This Row],[CPTY_NAME]],S:S,U:U,"",0)=CtpyRating[[#This Row],[FI_RATING]],CtpyRating[[#This Row],[New Rating]]="Yes"),"No","Yes")</f>
        <v>No</v>
      </c>
      <c r="M16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2" s="30" t="str">
        <f>IF(AND(CtpyRating[[#This Row],[FI_RATING]]&lt;&gt;"",_xlfn.XLOOKUP(CtpyRating[[#This Row],[CPTY_NAME]],S:S,U:U,"",0)=""),"Yes","No")</f>
        <v>No</v>
      </c>
      <c r="O162" s="30"/>
      <c r="Q162">
        <v>7</v>
      </c>
      <c r="R162">
        <v>2026</v>
      </c>
      <c r="S162" t="s">
        <v>213</v>
      </c>
      <c r="T162" t="s">
        <v>408</v>
      </c>
      <c r="U162" t="s">
        <v>24</v>
      </c>
      <c r="V162" s="34">
        <v>45866</v>
      </c>
      <c r="W162"/>
      <c r="X162"/>
    </row>
    <row r="163" spans="1:24" x14ac:dyDescent="0.3">
      <c r="A163" t="s">
        <v>213</v>
      </c>
      <c r="B163" t="s">
        <v>408</v>
      </c>
      <c r="C163" t="s">
        <v>100</v>
      </c>
      <c r="D163" t="s">
        <v>24</v>
      </c>
      <c r="E163" s="27">
        <v>45866</v>
      </c>
      <c r="G163" s="27"/>
      <c r="I163" s="27"/>
      <c r="L163" s="30" t="str">
        <f>IF(OR(CtpyRating[[#This Row],[FI_RATING]]="",_xlfn.XLOOKUP(CtpyRating[[#This Row],[CPTY_NAME]],S:S,U:U,"",0)=CtpyRating[[#This Row],[FI_RATING]],CtpyRating[[#This Row],[New Rating]]="Yes"),"No","Yes")</f>
        <v>No</v>
      </c>
      <c r="M16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3" s="30" t="str">
        <f>IF(AND(CtpyRating[[#This Row],[FI_RATING]]&lt;&gt;"",_xlfn.XLOOKUP(CtpyRating[[#This Row],[CPTY_NAME]],S:S,U:U,"",0)=""),"Yes","No")</f>
        <v>No</v>
      </c>
      <c r="O163" s="30"/>
      <c r="Q163">
        <v>7</v>
      </c>
      <c r="R163">
        <v>2026</v>
      </c>
      <c r="S163" t="s">
        <v>214</v>
      </c>
      <c r="T163" t="s">
        <v>409</v>
      </c>
      <c r="U163" t="s">
        <v>24</v>
      </c>
      <c r="V163" s="34"/>
      <c r="W163"/>
      <c r="X163"/>
    </row>
    <row r="164" spans="1:24" x14ac:dyDescent="0.3">
      <c r="A164" t="s">
        <v>214</v>
      </c>
      <c r="B164" t="s">
        <v>409</v>
      </c>
      <c r="C164" t="s">
        <v>100</v>
      </c>
      <c r="D164" t="s">
        <v>24</v>
      </c>
      <c r="E164" s="27"/>
      <c r="G164" s="27"/>
      <c r="I164" s="27"/>
      <c r="L164" s="30" t="str">
        <f>IF(OR(CtpyRating[[#This Row],[FI_RATING]]="",_xlfn.XLOOKUP(CtpyRating[[#This Row],[CPTY_NAME]],S:S,U:U,"",0)=CtpyRating[[#This Row],[FI_RATING]],CtpyRating[[#This Row],[New Rating]]="Yes"),"No","Yes")</f>
        <v>No</v>
      </c>
      <c r="M16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4" s="30" t="str">
        <f>IF(AND(CtpyRating[[#This Row],[FI_RATING]]&lt;&gt;"",_xlfn.XLOOKUP(CtpyRating[[#This Row],[CPTY_NAME]],S:S,U:U,"",0)=""),"Yes","No")</f>
        <v>No</v>
      </c>
      <c r="O164" s="30"/>
      <c r="Q164">
        <v>7</v>
      </c>
      <c r="R164">
        <v>2026</v>
      </c>
      <c r="S164" t="s">
        <v>215</v>
      </c>
      <c r="T164" t="s">
        <v>410</v>
      </c>
      <c r="U164" t="s">
        <v>73</v>
      </c>
      <c r="V164" s="34"/>
      <c r="W164"/>
      <c r="X164"/>
    </row>
    <row r="165" spans="1:24" x14ac:dyDescent="0.3">
      <c r="A165" t="s">
        <v>215</v>
      </c>
      <c r="B165" t="s">
        <v>410</v>
      </c>
      <c r="C165" t="s">
        <v>100</v>
      </c>
      <c r="D165" t="s">
        <v>73</v>
      </c>
      <c r="E165" s="27"/>
      <c r="G165" s="27"/>
      <c r="I165" s="27"/>
      <c r="L165" s="30" t="str">
        <f>IF(OR(CtpyRating[[#This Row],[FI_RATING]]="",_xlfn.XLOOKUP(CtpyRating[[#This Row],[CPTY_NAME]],S:S,U:U,"",0)=CtpyRating[[#This Row],[FI_RATING]],CtpyRating[[#This Row],[New Rating]]="Yes"),"No","Yes")</f>
        <v>No</v>
      </c>
      <c r="M16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5" s="30" t="str">
        <f>IF(AND(CtpyRating[[#This Row],[FI_RATING]]&lt;&gt;"",_xlfn.XLOOKUP(CtpyRating[[#This Row],[CPTY_NAME]],S:S,U:U,"",0)=""),"Yes","No")</f>
        <v>No</v>
      </c>
      <c r="O165" s="30"/>
      <c r="Q165">
        <v>7</v>
      </c>
      <c r="R165">
        <v>2026</v>
      </c>
      <c r="S165" t="s">
        <v>216</v>
      </c>
      <c r="T165" t="s">
        <v>411</v>
      </c>
      <c r="U165" t="s">
        <v>31</v>
      </c>
      <c r="V165" s="34"/>
      <c r="W165"/>
      <c r="X165"/>
    </row>
    <row r="166" spans="1:24" x14ac:dyDescent="0.3">
      <c r="A166" t="s">
        <v>216</v>
      </c>
      <c r="B166" t="s">
        <v>411</v>
      </c>
      <c r="C166" t="s">
        <v>134</v>
      </c>
      <c r="D166" t="s">
        <v>31</v>
      </c>
      <c r="E166" s="27"/>
      <c r="G166" s="27"/>
      <c r="I166" s="27"/>
      <c r="L166" s="30" t="str">
        <f>IF(OR(CtpyRating[[#This Row],[FI_RATING]]="",_xlfn.XLOOKUP(CtpyRating[[#This Row],[CPTY_NAME]],S:S,U:U,"",0)=CtpyRating[[#This Row],[FI_RATING]],CtpyRating[[#This Row],[New Rating]]="Yes"),"No","Yes")</f>
        <v>No</v>
      </c>
      <c r="M16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6" s="30" t="str">
        <f>IF(AND(CtpyRating[[#This Row],[FI_RATING]]&lt;&gt;"",_xlfn.XLOOKUP(CtpyRating[[#This Row],[CPTY_NAME]],S:S,U:U,"",0)=""),"Yes","No")</f>
        <v>No</v>
      </c>
      <c r="O166" s="30"/>
      <c r="Q166">
        <v>7</v>
      </c>
      <c r="R166">
        <v>2026</v>
      </c>
      <c r="S166" t="s">
        <v>217</v>
      </c>
      <c r="T166" t="s">
        <v>412</v>
      </c>
      <c r="U166" t="s">
        <v>20</v>
      </c>
      <c r="V166" s="34"/>
      <c r="W166"/>
      <c r="X166"/>
    </row>
    <row r="167" spans="1:24" x14ac:dyDescent="0.3">
      <c r="A167" t="s">
        <v>217</v>
      </c>
      <c r="B167" t="s">
        <v>412</v>
      </c>
      <c r="C167" t="s">
        <v>98</v>
      </c>
      <c r="D167" t="s">
        <v>20</v>
      </c>
      <c r="E167" s="27"/>
      <c r="G167" s="27"/>
      <c r="I167" s="27"/>
      <c r="L167" s="30" t="str">
        <f>IF(OR(CtpyRating[[#This Row],[FI_RATING]]="",_xlfn.XLOOKUP(CtpyRating[[#This Row],[CPTY_NAME]],S:S,U:U,"",0)=CtpyRating[[#This Row],[FI_RATING]],CtpyRating[[#This Row],[New Rating]]="Yes"),"No","Yes")</f>
        <v>No</v>
      </c>
      <c r="M16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7" s="30" t="str">
        <f>IF(AND(CtpyRating[[#This Row],[FI_RATING]]&lt;&gt;"",_xlfn.XLOOKUP(CtpyRating[[#This Row],[CPTY_NAME]],S:S,U:U,"",0)=""),"Yes","No")</f>
        <v>No</v>
      </c>
      <c r="O167" s="30"/>
      <c r="Q167">
        <v>7</v>
      </c>
      <c r="R167">
        <v>2026</v>
      </c>
      <c r="S167" t="s">
        <v>218</v>
      </c>
      <c r="T167" t="s">
        <v>413</v>
      </c>
      <c r="U167" t="s">
        <v>171</v>
      </c>
      <c r="V167" s="34">
        <v>44357</v>
      </c>
      <c r="W167"/>
      <c r="X167"/>
    </row>
    <row r="168" spans="1:24" x14ac:dyDescent="0.3">
      <c r="A168" t="s">
        <v>218</v>
      </c>
      <c r="B168" t="s">
        <v>413</v>
      </c>
      <c r="C168" t="s">
        <v>100</v>
      </c>
      <c r="D168" t="s">
        <v>171</v>
      </c>
      <c r="E168" s="27">
        <v>44357</v>
      </c>
      <c r="G168" s="27"/>
      <c r="I168" s="27"/>
      <c r="L168" s="30" t="str">
        <f>IF(OR(CtpyRating[[#This Row],[FI_RATING]]="",_xlfn.XLOOKUP(CtpyRating[[#This Row],[CPTY_NAME]],S:S,U:U,"",0)=CtpyRating[[#This Row],[FI_RATING]],CtpyRating[[#This Row],[New Rating]]="Yes"),"No","Yes")</f>
        <v>No</v>
      </c>
      <c r="M16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8" s="30" t="str">
        <f>IF(AND(CtpyRating[[#This Row],[FI_RATING]]&lt;&gt;"",_xlfn.XLOOKUP(CtpyRating[[#This Row],[CPTY_NAME]],S:S,U:U,"",0)=""),"Yes","No")</f>
        <v>No</v>
      </c>
      <c r="O168" s="30"/>
      <c r="Q168">
        <v>7</v>
      </c>
      <c r="R168">
        <v>2026</v>
      </c>
      <c r="S168" t="s">
        <v>219</v>
      </c>
      <c r="T168" t="s">
        <v>414</v>
      </c>
      <c r="U168" t="s">
        <v>248</v>
      </c>
      <c r="V168" s="34"/>
      <c r="W168"/>
      <c r="X168"/>
    </row>
    <row r="169" spans="1:24" x14ac:dyDescent="0.3">
      <c r="A169" t="s">
        <v>219</v>
      </c>
      <c r="B169" t="s">
        <v>414</v>
      </c>
      <c r="C169" t="s">
        <v>134</v>
      </c>
      <c r="E169" s="27"/>
      <c r="F169" t="s">
        <v>24</v>
      </c>
      <c r="G169" s="27">
        <v>46181</v>
      </c>
      <c r="H169" t="s">
        <v>175</v>
      </c>
      <c r="I169" s="27">
        <v>46181</v>
      </c>
      <c r="J169" t="s">
        <v>24</v>
      </c>
      <c r="K169">
        <v>44641</v>
      </c>
      <c r="L169" s="30" t="str">
        <f>IF(OR(CtpyRating[[#This Row],[FI_RATING]]="",_xlfn.XLOOKUP(CtpyRating[[#This Row],[CPTY_NAME]],S:S,U:U,"",0)=CtpyRating[[#This Row],[FI_RATING]],CtpyRating[[#This Row],[New Rating]]="Yes"),"No","Yes")</f>
        <v>No</v>
      </c>
      <c r="M16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69" s="30" t="str">
        <f>IF(AND(CtpyRating[[#This Row],[FI_RATING]]&lt;&gt;"",_xlfn.XLOOKUP(CtpyRating[[#This Row],[CPTY_NAME]],S:S,U:U,"",0)=""),"Yes","No")</f>
        <v>No</v>
      </c>
      <c r="O169" s="30"/>
      <c r="Q169">
        <v>7</v>
      </c>
      <c r="R169">
        <v>2026</v>
      </c>
      <c r="S169" t="s">
        <v>220</v>
      </c>
      <c r="T169" t="s">
        <v>415</v>
      </c>
      <c r="U169" t="s">
        <v>52</v>
      </c>
      <c r="V169" s="34">
        <v>45965</v>
      </c>
      <c r="W169"/>
      <c r="X169"/>
    </row>
    <row r="170" spans="1:24" x14ac:dyDescent="0.3">
      <c r="A170" t="s">
        <v>220</v>
      </c>
      <c r="B170" t="s">
        <v>415</v>
      </c>
      <c r="C170" t="s">
        <v>134</v>
      </c>
      <c r="D170" t="s">
        <v>52</v>
      </c>
      <c r="E170" s="27">
        <v>45965</v>
      </c>
      <c r="G170" s="27"/>
      <c r="I170" s="27"/>
      <c r="L170" s="30" t="str">
        <f>IF(OR(CtpyRating[[#This Row],[FI_RATING]]="",_xlfn.XLOOKUP(CtpyRating[[#This Row],[CPTY_NAME]],S:S,U:U,"",0)=CtpyRating[[#This Row],[FI_RATING]],CtpyRating[[#This Row],[New Rating]]="Yes"),"No","Yes")</f>
        <v>No</v>
      </c>
      <c r="M17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0" s="30" t="str">
        <f>IF(AND(CtpyRating[[#This Row],[FI_RATING]]&lt;&gt;"",_xlfn.XLOOKUP(CtpyRating[[#This Row],[CPTY_NAME]],S:S,U:U,"",0)=""),"Yes","No")</f>
        <v>No</v>
      </c>
      <c r="O170" s="30"/>
      <c r="Q170">
        <v>7</v>
      </c>
      <c r="R170">
        <v>2026</v>
      </c>
      <c r="S170" t="s">
        <v>221</v>
      </c>
      <c r="T170" t="s">
        <v>416</v>
      </c>
      <c r="U170" t="s">
        <v>248</v>
      </c>
      <c r="V170" s="34"/>
      <c r="W170"/>
      <c r="X170"/>
    </row>
    <row r="171" spans="1:24" x14ac:dyDescent="0.3">
      <c r="A171" t="s">
        <v>221</v>
      </c>
      <c r="B171" t="s">
        <v>416</v>
      </c>
      <c r="C171" t="s">
        <v>134</v>
      </c>
      <c r="E171" s="27"/>
      <c r="F171" t="s">
        <v>149</v>
      </c>
      <c r="G171" s="27"/>
      <c r="H171" t="s">
        <v>163</v>
      </c>
      <c r="I171" s="27"/>
      <c r="J171" t="s">
        <v>149</v>
      </c>
      <c r="L171" s="30" t="str">
        <f>IF(OR(CtpyRating[[#This Row],[FI_RATING]]="",_xlfn.XLOOKUP(CtpyRating[[#This Row],[CPTY_NAME]],S:S,U:U,"",0)=CtpyRating[[#This Row],[FI_RATING]],CtpyRating[[#This Row],[New Rating]]="Yes"),"No","Yes")</f>
        <v>No</v>
      </c>
      <c r="M17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1" s="30" t="str">
        <f>IF(AND(CtpyRating[[#This Row],[FI_RATING]]&lt;&gt;"",_xlfn.XLOOKUP(CtpyRating[[#This Row],[CPTY_NAME]],S:S,U:U,"",0)=""),"Yes","No")</f>
        <v>No</v>
      </c>
      <c r="O171" s="30"/>
      <c r="Q171">
        <v>7</v>
      </c>
      <c r="R171">
        <v>2026</v>
      </c>
      <c r="S171" t="s">
        <v>222</v>
      </c>
      <c r="T171" t="s">
        <v>417</v>
      </c>
      <c r="U171" t="s">
        <v>248</v>
      </c>
      <c r="V171" s="34"/>
      <c r="W171"/>
      <c r="X171"/>
    </row>
    <row r="172" spans="1:24" x14ac:dyDescent="0.3">
      <c r="A172" t="s">
        <v>222</v>
      </c>
      <c r="B172" t="s">
        <v>417</v>
      </c>
      <c r="C172" t="s">
        <v>134</v>
      </c>
      <c r="E172" s="27"/>
      <c r="F172" t="s">
        <v>223</v>
      </c>
      <c r="G172" s="27"/>
      <c r="H172" t="s">
        <v>224</v>
      </c>
      <c r="I172" s="27"/>
      <c r="L172" s="30" t="str">
        <f>IF(OR(CtpyRating[[#This Row],[FI_RATING]]="",_xlfn.XLOOKUP(CtpyRating[[#This Row],[CPTY_NAME]],S:S,U:U,"",0)=CtpyRating[[#This Row],[FI_RATING]],CtpyRating[[#This Row],[New Rating]]="Yes"),"No","Yes")</f>
        <v>No</v>
      </c>
      <c r="M17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2" s="30" t="str">
        <f>IF(AND(CtpyRating[[#This Row],[FI_RATING]]&lt;&gt;"",_xlfn.XLOOKUP(CtpyRating[[#This Row],[CPTY_NAME]],S:S,U:U,"",0)=""),"Yes","No")</f>
        <v>No</v>
      </c>
      <c r="O172" s="30"/>
      <c r="Q172">
        <v>7</v>
      </c>
      <c r="R172">
        <v>2026</v>
      </c>
      <c r="S172" t="s">
        <v>225</v>
      </c>
      <c r="T172" t="s">
        <v>418</v>
      </c>
      <c r="U172" t="s">
        <v>33</v>
      </c>
      <c r="V172" s="34">
        <v>46190</v>
      </c>
      <c r="W172"/>
      <c r="X172"/>
    </row>
    <row r="173" spans="1:24" x14ac:dyDescent="0.3">
      <c r="A173" t="s">
        <v>225</v>
      </c>
      <c r="B173" t="s">
        <v>418</v>
      </c>
      <c r="C173" t="s">
        <v>100</v>
      </c>
      <c r="D173" t="s">
        <v>33</v>
      </c>
      <c r="E173" s="27">
        <v>46190</v>
      </c>
      <c r="G173" s="27"/>
      <c r="I173" s="27"/>
      <c r="L173" s="30" t="str">
        <f>IF(OR(CtpyRating[[#This Row],[FI_RATING]]="",_xlfn.XLOOKUP(CtpyRating[[#This Row],[CPTY_NAME]],S:S,U:U,"",0)=CtpyRating[[#This Row],[FI_RATING]],CtpyRating[[#This Row],[New Rating]]="Yes"),"No","Yes")</f>
        <v>No</v>
      </c>
      <c r="M17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3" s="30" t="str">
        <f>IF(AND(CtpyRating[[#This Row],[FI_RATING]]&lt;&gt;"",_xlfn.XLOOKUP(CtpyRating[[#This Row],[CPTY_NAME]],S:S,U:U,"",0)=""),"Yes","No")</f>
        <v>No</v>
      </c>
      <c r="O173" s="30"/>
      <c r="Q173">
        <v>7</v>
      </c>
      <c r="R173">
        <v>2026</v>
      </c>
      <c r="S173" t="s">
        <v>226</v>
      </c>
      <c r="T173" t="s">
        <v>419</v>
      </c>
      <c r="U173" t="s">
        <v>18</v>
      </c>
      <c r="V173" s="34">
        <v>45853</v>
      </c>
      <c r="W173"/>
      <c r="X173"/>
    </row>
    <row r="174" spans="1:24" x14ac:dyDescent="0.3">
      <c r="A174" t="s">
        <v>226</v>
      </c>
      <c r="B174" t="s">
        <v>419</v>
      </c>
      <c r="C174" t="s">
        <v>100</v>
      </c>
      <c r="D174" t="s">
        <v>18</v>
      </c>
      <c r="E174" s="27">
        <v>45853</v>
      </c>
      <c r="G174" s="27"/>
      <c r="I174" s="27"/>
      <c r="L174" s="30" t="str">
        <f>IF(OR(CtpyRating[[#This Row],[FI_RATING]]="",_xlfn.XLOOKUP(CtpyRating[[#This Row],[CPTY_NAME]],S:S,U:U,"",0)=CtpyRating[[#This Row],[FI_RATING]],CtpyRating[[#This Row],[New Rating]]="Yes"),"No","Yes")</f>
        <v>No</v>
      </c>
      <c r="M17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4" s="30" t="str">
        <f>IF(AND(CtpyRating[[#This Row],[FI_RATING]]&lt;&gt;"",_xlfn.XLOOKUP(CtpyRating[[#This Row],[CPTY_NAME]],S:S,U:U,"",0)=""),"Yes","No")</f>
        <v>No</v>
      </c>
      <c r="O174" s="30"/>
      <c r="Q174">
        <v>7</v>
      </c>
      <c r="R174">
        <v>2026</v>
      </c>
      <c r="S174" t="s">
        <v>227</v>
      </c>
      <c r="T174" t="s">
        <v>420</v>
      </c>
      <c r="U174" t="s">
        <v>248</v>
      </c>
      <c r="V174" s="34"/>
      <c r="W174"/>
      <c r="X174"/>
    </row>
    <row r="175" spans="1:24" x14ac:dyDescent="0.3">
      <c r="A175" t="s">
        <v>227</v>
      </c>
      <c r="B175" t="s">
        <v>420</v>
      </c>
      <c r="C175" t="s">
        <v>134</v>
      </c>
      <c r="E175" s="27"/>
      <c r="G175" s="27"/>
      <c r="H175" t="s">
        <v>140</v>
      </c>
      <c r="I175" s="27">
        <v>45825</v>
      </c>
      <c r="L175" s="30" t="str">
        <f>IF(OR(CtpyRating[[#This Row],[FI_RATING]]="",_xlfn.XLOOKUP(CtpyRating[[#This Row],[CPTY_NAME]],S:S,U:U,"",0)=CtpyRating[[#This Row],[FI_RATING]],CtpyRating[[#This Row],[New Rating]]="Yes"),"No","Yes")</f>
        <v>No</v>
      </c>
      <c r="M17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5" s="30" t="str">
        <f>IF(AND(CtpyRating[[#This Row],[FI_RATING]]&lt;&gt;"",_xlfn.XLOOKUP(CtpyRating[[#This Row],[CPTY_NAME]],S:S,U:U,"",0)=""),"Yes","No")</f>
        <v>No</v>
      </c>
      <c r="O175" s="30"/>
      <c r="Q175">
        <v>7</v>
      </c>
      <c r="R175">
        <v>2026</v>
      </c>
      <c r="S175" t="s">
        <v>228</v>
      </c>
      <c r="T175" t="s">
        <v>421</v>
      </c>
      <c r="U175" t="s">
        <v>40</v>
      </c>
      <c r="V175" s="34">
        <v>45896</v>
      </c>
      <c r="W175"/>
      <c r="X175"/>
    </row>
    <row r="176" spans="1:24" x14ac:dyDescent="0.3">
      <c r="A176" t="s">
        <v>228</v>
      </c>
      <c r="B176" t="s">
        <v>421</v>
      </c>
      <c r="C176" t="s">
        <v>51</v>
      </c>
      <c r="D176" t="s">
        <v>40</v>
      </c>
      <c r="E176" s="27">
        <v>45896</v>
      </c>
      <c r="G176" s="27"/>
      <c r="I176" s="27"/>
      <c r="L176" s="30" t="str">
        <f>IF(OR(CtpyRating[[#This Row],[FI_RATING]]="",_xlfn.XLOOKUP(CtpyRating[[#This Row],[CPTY_NAME]],S:S,U:U,"",0)=CtpyRating[[#This Row],[FI_RATING]],CtpyRating[[#This Row],[New Rating]]="Yes"),"No","Yes")</f>
        <v>No</v>
      </c>
      <c r="M17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6" s="30" t="str">
        <f>IF(AND(CtpyRating[[#This Row],[FI_RATING]]&lt;&gt;"",_xlfn.XLOOKUP(CtpyRating[[#This Row],[CPTY_NAME]],S:S,U:U,"",0)=""),"Yes","No")</f>
        <v>No</v>
      </c>
      <c r="O176" s="30"/>
      <c r="Q176">
        <v>7</v>
      </c>
      <c r="R176">
        <v>2026</v>
      </c>
      <c r="S176" t="s">
        <v>229</v>
      </c>
      <c r="T176" t="s">
        <v>422</v>
      </c>
      <c r="U176" t="s">
        <v>248</v>
      </c>
      <c r="V176" s="34"/>
      <c r="W176"/>
      <c r="X176"/>
    </row>
    <row r="177" spans="1:24" x14ac:dyDescent="0.3">
      <c r="A177" t="s">
        <v>229</v>
      </c>
      <c r="B177" t="s">
        <v>422</v>
      </c>
      <c r="C177" t="s">
        <v>134</v>
      </c>
      <c r="E177" s="27"/>
      <c r="F177" t="s">
        <v>24</v>
      </c>
      <c r="G177" s="27">
        <v>45929</v>
      </c>
      <c r="H177" t="s">
        <v>175</v>
      </c>
      <c r="I177" s="27">
        <v>45995</v>
      </c>
      <c r="L177" s="30" t="str">
        <f>IF(OR(CtpyRating[[#This Row],[FI_RATING]]="",_xlfn.XLOOKUP(CtpyRating[[#This Row],[CPTY_NAME]],S:S,U:U,"",0)=CtpyRating[[#This Row],[FI_RATING]],CtpyRating[[#This Row],[New Rating]]="Yes"),"No","Yes")</f>
        <v>No</v>
      </c>
      <c r="M17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7" s="30" t="str">
        <f>IF(AND(CtpyRating[[#This Row],[FI_RATING]]&lt;&gt;"",_xlfn.XLOOKUP(CtpyRating[[#This Row],[CPTY_NAME]],S:S,U:U,"",0)=""),"Yes","No")</f>
        <v>No</v>
      </c>
      <c r="O177" s="30"/>
      <c r="Q177">
        <v>7</v>
      </c>
      <c r="R177">
        <v>2026</v>
      </c>
      <c r="S177" t="s">
        <v>230</v>
      </c>
      <c r="T177" t="s">
        <v>423</v>
      </c>
      <c r="U177" t="s">
        <v>40</v>
      </c>
      <c r="V177" s="34">
        <v>45859</v>
      </c>
      <c r="W177"/>
      <c r="X177"/>
    </row>
    <row r="178" spans="1:24" x14ac:dyDescent="0.3">
      <c r="A178" t="s">
        <v>230</v>
      </c>
      <c r="B178" t="s">
        <v>423</v>
      </c>
      <c r="C178" t="s">
        <v>100</v>
      </c>
      <c r="D178" t="s">
        <v>40</v>
      </c>
      <c r="E178" s="27">
        <v>45859</v>
      </c>
      <c r="G178" s="27"/>
      <c r="I178" s="27"/>
      <c r="L178" s="30" t="str">
        <f>IF(OR(CtpyRating[[#This Row],[FI_RATING]]="",_xlfn.XLOOKUP(CtpyRating[[#This Row],[CPTY_NAME]],S:S,U:U,"",0)=CtpyRating[[#This Row],[FI_RATING]],CtpyRating[[#This Row],[New Rating]]="Yes"),"No","Yes")</f>
        <v>No</v>
      </c>
      <c r="M17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8" s="30" t="str">
        <f>IF(AND(CtpyRating[[#This Row],[FI_RATING]]&lt;&gt;"",_xlfn.XLOOKUP(CtpyRating[[#This Row],[CPTY_NAME]],S:S,U:U,"",0)=""),"Yes","No")</f>
        <v>No</v>
      </c>
      <c r="O178" s="30"/>
      <c r="Q178">
        <v>7</v>
      </c>
      <c r="R178">
        <v>2026</v>
      </c>
      <c r="S178" t="s">
        <v>231</v>
      </c>
      <c r="T178" t="s">
        <v>424</v>
      </c>
      <c r="U178" t="s">
        <v>20</v>
      </c>
      <c r="V178" s="34">
        <v>46170</v>
      </c>
      <c r="W178"/>
      <c r="X178"/>
    </row>
    <row r="179" spans="1:24" x14ac:dyDescent="0.3">
      <c r="A179" t="s">
        <v>231</v>
      </c>
      <c r="B179" t="s">
        <v>424</v>
      </c>
      <c r="C179" t="s">
        <v>100</v>
      </c>
      <c r="D179" t="s">
        <v>20</v>
      </c>
      <c r="E179" s="27">
        <v>46170</v>
      </c>
      <c r="G179" s="27"/>
      <c r="I179" s="27"/>
      <c r="L179" s="30" t="str">
        <f>IF(OR(CtpyRating[[#This Row],[FI_RATING]]="",_xlfn.XLOOKUP(CtpyRating[[#This Row],[CPTY_NAME]],S:S,U:U,"",0)=CtpyRating[[#This Row],[FI_RATING]],CtpyRating[[#This Row],[New Rating]]="Yes"),"No","Yes")</f>
        <v>No</v>
      </c>
      <c r="M17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79" s="30" t="str">
        <f>IF(AND(CtpyRating[[#This Row],[FI_RATING]]&lt;&gt;"",_xlfn.XLOOKUP(CtpyRating[[#This Row],[CPTY_NAME]],S:S,U:U,"",0)=""),"Yes","No")</f>
        <v>No</v>
      </c>
      <c r="O179" s="30"/>
      <c r="Q179">
        <v>7</v>
      </c>
      <c r="R179">
        <v>2026</v>
      </c>
      <c r="S179" t="s">
        <v>232</v>
      </c>
      <c r="T179" t="s">
        <v>425</v>
      </c>
      <c r="U179" t="s">
        <v>33</v>
      </c>
      <c r="V179" s="34">
        <v>45940</v>
      </c>
      <c r="W179"/>
      <c r="X179"/>
    </row>
    <row r="180" spans="1:24" x14ac:dyDescent="0.3">
      <c r="A180" t="s">
        <v>232</v>
      </c>
      <c r="B180" t="s">
        <v>425</v>
      </c>
      <c r="C180" t="s">
        <v>100</v>
      </c>
      <c r="D180" t="s">
        <v>33</v>
      </c>
      <c r="E180" s="27">
        <v>45940</v>
      </c>
      <c r="G180" s="27"/>
      <c r="I180" s="27"/>
      <c r="L180" s="30" t="str">
        <f>IF(OR(CtpyRating[[#This Row],[FI_RATING]]="",_xlfn.XLOOKUP(CtpyRating[[#This Row],[CPTY_NAME]],S:S,U:U,"",0)=CtpyRating[[#This Row],[FI_RATING]],CtpyRating[[#This Row],[New Rating]]="Yes"),"No","Yes")</f>
        <v>No</v>
      </c>
      <c r="M18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0" s="30" t="str">
        <f>IF(AND(CtpyRating[[#This Row],[FI_RATING]]&lt;&gt;"",_xlfn.XLOOKUP(CtpyRating[[#This Row],[CPTY_NAME]],S:S,U:U,"",0)=""),"Yes","No")</f>
        <v>No</v>
      </c>
      <c r="O180" s="30"/>
      <c r="Q180">
        <v>7</v>
      </c>
      <c r="R180">
        <v>2026</v>
      </c>
      <c r="S180" t="s">
        <v>233</v>
      </c>
      <c r="T180" t="s">
        <v>426</v>
      </c>
      <c r="U180" t="s">
        <v>171</v>
      </c>
      <c r="V180" s="34">
        <v>45272</v>
      </c>
      <c r="W180"/>
      <c r="X180"/>
    </row>
    <row r="181" spans="1:24" x14ac:dyDescent="0.3">
      <c r="A181" t="s">
        <v>233</v>
      </c>
      <c r="B181" t="s">
        <v>426</v>
      </c>
      <c r="C181" t="s">
        <v>100</v>
      </c>
      <c r="D181" t="s">
        <v>171</v>
      </c>
      <c r="E181" s="27">
        <v>45272</v>
      </c>
      <c r="G181" s="27"/>
      <c r="I181" s="27"/>
      <c r="L181" s="30" t="str">
        <f>IF(OR(CtpyRating[[#This Row],[FI_RATING]]="",_xlfn.XLOOKUP(CtpyRating[[#This Row],[CPTY_NAME]],S:S,U:U,"",0)=CtpyRating[[#This Row],[FI_RATING]],CtpyRating[[#This Row],[New Rating]]="Yes"),"No","Yes")</f>
        <v>No</v>
      </c>
      <c r="M18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1" s="30" t="str">
        <f>IF(AND(CtpyRating[[#This Row],[FI_RATING]]&lt;&gt;"",_xlfn.XLOOKUP(CtpyRating[[#This Row],[CPTY_NAME]],S:S,U:U,"",0)=""),"Yes","No")</f>
        <v>No</v>
      </c>
      <c r="O181" s="30"/>
      <c r="Q181">
        <v>7</v>
      </c>
      <c r="R181">
        <v>2026</v>
      </c>
      <c r="S181" t="s">
        <v>234</v>
      </c>
      <c r="T181" t="s">
        <v>427</v>
      </c>
      <c r="U181" t="s">
        <v>40</v>
      </c>
      <c r="V181" s="34"/>
      <c r="W181"/>
      <c r="X181"/>
    </row>
    <row r="182" spans="1:24" x14ac:dyDescent="0.3">
      <c r="A182" t="s">
        <v>234</v>
      </c>
      <c r="B182" t="s">
        <v>427</v>
      </c>
      <c r="C182" t="s">
        <v>100</v>
      </c>
      <c r="D182" t="s">
        <v>40</v>
      </c>
      <c r="E182" s="27"/>
      <c r="G182" s="27"/>
      <c r="I182" s="27"/>
      <c r="L182" s="30" t="str">
        <f>IF(OR(CtpyRating[[#This Row],[FI_RATING]]="",_xlfn.XLOOKUP(CtpyRating[[#This Row],[CPTY_NAME]],S:S,U:U,"",0)=CtpyRating[[#This Row],[FI_RATING]],CtpyRating[[#This Row],[New Rating]]="Yes"),"No","Yes")</f>
        <v>No</v>
      </c>
      <c r="M18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2" s="30" t="str">
        <f>IF(AND(CtpyRating[[#This Row],[FI_RATING]]&lt;&gt;"",_xlfn.XLOOKUP(CtpyRating[[#This Row],[CPTY_NAME]],S:S,U:U,"",0)=""),"Yes","No")</f>
        <v>No</v>
      </c>
      <c r="O182" s="30"/>
      <c r="Q182">
        <v>7</v>
      </c>
      <c r="R182">
        <v>2026</v>
      </c>
      <c r="S182" t="s">
        <v>235</v>
      </c>
      <c r="T182" t="s">
        <v>428</v>
      </c>
      <c r="U182" t="s">
        <v>52</v>
      </c>
      <c r="V182" s="34">
        <v>46098</v>
      </c>
      <c r="W182"/>
      <c r="X182"/>
    </row>
    <row r="183" spans="1:24" x14ac:dyDescent="0.3">
      <c r="A183" t="s">
        <v>235</v>
      </c>
      <c r="B183" t="s">
        <v>428</v>
      </c>
      <c r="C183" t="s">
        <v>100</v>
      </c>
      <c r="D183" t="s">
        <v>52</v>
      </c>
      <c r="E183" s="27">
        <v>46098</v>
      </c>
      <c r="G183" s="27"/>
      <c r="I183" s="27"/>
      <c r="L183" s="30" t="str">
        <f>IF(OR(CtpyRating[[#This Row],[FI_RATING]]="",_xlfn.XLOOKUP(CtpyRating[[#This Row],[CPTY_NAME]],S:S,U:U,"",0)=CtpyRating[[#This Row],[FI_RATING]],CtpyRating[[#This Row],[New Rating]]="Yes"),"No","Yes")</f>
        <v>No</v>
      </c>
      <c r="M18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3" s="30" t="str">
        <f>IF(AND(CtpyRating[[#This Row],[FI_RATING]]&lt;&gt;"",_xlfn.XLOOKUP(CtpyRating[[#This Row],[CPTY_NAME]],S:S,U:U,"",0)=""),"Yes","No")</f>
        <v>No</v>
      </c>
      <c r="O183" s="30"/>
      <c r="Q183">
        <v>7</v>
      </c>
      <c r="R183">
        <v>2026</v>
      </c>
      <c r="S183" t="s">
        <v>236</v>
      </c>
      <c r="T183" t="s">
        <v>429</v>
      </c>
      <c r="U183" t="s">
        <v>24</v>
      </c>
      <c r="V183" s="34">
        <v>45338</v>
      </c>
      <c r="W183"/>
      <c r="X183"/>
    </row>
    <row r="184" spans="1:24" x14ac:dyDescent="0.3">
      <c r="A184" t="s">
        <v>236</v>
      </c>
      <c r="B184" t="s">
        <v>429</v>
      </c>
      <c r="C184" t="s">
        <v>100</v>
      </c>
      <c r="D184" t="s">
        <v>24</v>
      </c>
      <c r="E184" s="27">
        <v>45338</v>
      </c>
      <c r="G184" s="27"/>
      <c r="I184" s="27"/>
      <c r="L184" s="30" t="str">
        <f>IF(OR(CtpyRating[[#This Row],[FI_RATING]]="",_xlfn.XLOOKUP(CtpyRating[[#This Row],[CPTY_NAME]],S:S,U:U,"",0)=CtpyRating[[#This Row],[FI_RATING]],CtpyRating[[#This Row],[New Rating]]="Yes"),"No","Yes")</f>
        <v>No</v>
      </c>
      <c r="M18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4" s="30" t="str">
        <f>IF(AND(CtpyRating[[#This Row],[FI_RATING]]&lt;&gt;"",_xlfn.XLOOKUP(CtpyRating[[#This Row],[CPTY_NAME]],S:S,U:U,"",0)=""),"Yes","No")</f>
        <v>No</v>
      </c>
      <c r="O184" s="30"/>
      <c r="Q184">
        <v>7</v>
      </c>
      <c r="R184">
        <v>2026</v>
      </c>
      <c r="S184" t="s">
        <v>237</v>
      </c>
      <c r="T184" t="s">
        <v>430</v>
      </c>
      <c r="U184" t="s">
        <v>20</v>
      </c>
      <c r="V184" s="34"/>
      <c r="W184"/>
      <c r="X184"/>
    </row>
    <row r="185" spans="1:24" x14ac:dyDescent="0.3">
      <c r="A185" t="s">
        <v>237</v>
      </c>
      <c r="B185" t="s">
        <v>430</v>
      </c>
      <c r="C185" t="s">
        <v>100</v>
      </c>
      <c r="D185" t="s">
        <v>20</v>
      </c>
      <c r="E185" s="27"/>
      <c r="G185" s="27"/>
      <c r="I185" s="27"/>
      <c r="L185" s="30" t="str">
        <f>IF(OR(CtpyRating[[#This Row],[FI_RATING]]="",_xlfn.XLOOKUP(CtpyRating[[#This Row],[CPTY_NAME]],S:S,U:U,"",0)=CtpyRating[[#This Row],[FI_RATING]],CtpyRating[[#This Row],[New Rating]]="Yes"),"No","Yes")</f>
        <v>No</v>
      </c>
      <c r="M18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5" s="30" t="str">
        <f>IF(AND(CtpyRating[[#This Row],[FI_RATING]]&lt;&gt;"",_xlfn.XLOOKUP(CtpyRating[[#This Row],[CPTY_NAME]],S:S,U:U,"",0)=""),"Yes","No")</f>
        <v>No</v>
      </c>
      <c r="O185" s="30"/>
      <c r="Q185">
        <v>7</v>
      </c>
      <c r="R185">
        <v>2026</v>
      </c>
      <c r="S185" t="s">
        <v>238</v>
      </c>
      <c r="T185" t="s">
        <v>431</v>
      </c>
      <c r="U185" t="s">
        <v>248</v>
      </c>
      <c r="V185" s="34"/>
      <c r="W185"/>
      <c r="X185"/>
    </row>
    <row r="186" spans="1:24" x14ac:dyDescent="0.3">
      <c r="A186" t="s">
        <v>238</v>
      </c>
      <c r="B186" t="s">
        <v>431</v>
      </c>
      <c r="C186" t="s">
        <v>134</v>
      </c>
      <c r="E186" s="27"/>
      <c r="F186" t="s">
        <v>33</v>
      </c>
      <c r="G186" s="27">
        <v>45945</v>
      </c>
      <c r="H186" t="s">
        <v>142</v>
      </c>
      <c r="I186" s="27">
        <v>45979</v>
      </c>
      <c r="L186" s="30" t="str">
        <f>IF(OR(CtpyRating[[#This Row],[FI_RATING]]="",_xlfn.XLOOKUP(CtpyRating[[#This Row],[CPTY_NAME]],S:S,U:U,"",0)=CtpyRating[[#This Row],[FI_RATING]],CtpyRating[[#This Row],[New Rating]]="Yes"),"No","Yes")</f>
        <v>No</v>
      </c>
      <c r="M18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6" s="30" t="str">
        <f>IF(AND(CtpyRating[[#This Row],[FI_RATING]]&lt;&gt;"",_xlfn.XLOOKUP(CtpyRating[[#This Row],[CPTY_NAME]],S:S,U:U,"",0)=""),"Yes","No")</f>
        <v>No</v>
      </c>
      <c r="O186" s="30"/>
      <c r="Q186">
        <v>7</v>
      </c>
      <c r="R186">
        <v>2026</v>
      </c>
      <c r="S186" t="s">
        <v>239</v>
      </c>
      <c r="T186" t="s">
        <v>432</v>
      </c>
      <c r="U186" t="s">
        <v>171</v>
      </c>
      <c r="V186" s="34">
        <v>45740</v>
      </c>
      <c r="W186"/>
      <c r="X186"/>
    </row>
    <row r="187" spans="1:24" x14ac:dyDescent="0.3">
      <c r="A187" t="s">
        <v>239</v>
      </c>
      <c r="B187" t="s">
        <v>432</v>
      </c>
      <c r="C187" t="s">
        <v>100</v>
      </c>
      <c r="D187" t="s">
        <v>171</v>
      </c>
      <c r="E187" s="27">
        <v>45740</v>
      </c>
      <c r="G187" s="27"/>
      <c r="I187" s="27"/>
      <c r="L187" s="30" t="str">
        <f>IF(OR(CtpyRating[[#This Row],[FI_RATING]]="",_xlfn.XLOOKUP(CtpyRating[[#This Row],[CPTY_NAME]],S:S,U:U,"",0)=CtpyRating[[#This Row],[FI_RATING]],CtpyRating[[#This Row],[New Rating]]="Yes"),"No","Yes")</f>
        <v>No</v>
      </c>
      <c r="M18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7" s="30" t="str">
        <f>IF(AND(CtpyRating[[#This Row],[FI_RATING]]&lt;&gt;"",_xlfn.XLOOKUP(CtpyRating[[#This Row],[CPTY_NAME]],S:S,U:U,"",0)=""),"Yes","No")</f>
        <v>No</v>
      </c>
      <c r="O187" s="30"/>
      <c r="Q187">
        <v>7</v>
      </c>
      <c r="R187">
        <v>2026</v>
      </c>
      <c r="S187" t="s">
        <v>240</v>
      </c>
      <c r="T187" t="s">
        <v>433</v>
      </c>
      <c r="U187" t="s">
        <v>248</v>
      </c>
      <c r="V187" s="34"/>
      <c r="W187"/>
      <c r="X187"/>
    </row>
    <row r="188" spans="1:24" x14ac:dyDescent="0.3">
      <c r="A188" t="s">
        <v>240</v>
      </c>
      <c r="B188" t="s">
        <v>433</v>
      </c>
      <c r="C188" t="s">
        <v>134</v>
      </c>
      <c r="E188" s="27"/>
      <c r="F188" t="s">
        <v>139</v>
      </c>
      <c r="G188" s="27">
        <v>45954</v>
      </c>
      <c r="H188" t="s">
        <v>140</v>
      </c>
      <c r="I188" s="27">
        <v>46037</v>
      </c>
      <c r="L188" s="30" t="str">
        <f>IF(OR(CtpyRating[[#This Row],[FI_RATING]]="",_xlfn.XLOOKUP(CtpyRating[[#This Row],[CPTY_NAME]],S:S,U:U,"",0)=CtpyRating[[#This Row],[FI_RATING]],CtpyRating[[#This Row],[New Rating]]="Yes"),"No","Yes")</f>
        <v>No</v>
      </c>
      <c r="M18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8" s="30" t="str">
        <f>IF(AND(CtpyRating[[#This Row],[FI_RATING]]&lt;&gt;"",_xlfn.XLOOKUP(CtpyRating[[#This Row],[CPTY_NAME]],S:S,U:U,"",0)=""),"Yes","No")</f>
        <v>No</v>
      </c>
      <c r="O188" s="30"/>
      <c r="Q188">
        <v>7</v>
      </c>
      <c r="R188">
        <v>2026</v>
      </c>
      <c r="S188" t="s">
        <v>241</v>
      </c>
      <c r="T188" t="s">
        <v>434</v>
      </c>
      <c r="U188" t="s">
        <v>33</v>
      </c>
      <c r="V188" s="34">
        <v>45744</v>
      </c>
      <c r="W188"/>
      <c r="X188"/>
    </row>
    <row r="189" spans="1:24" x14ac:dyDescent="0.3">
      <c r="A189" t="s">
        <v>241</v>
      </c>
      <c r="B189" t="s">
        <v>434</v>
      </c>
      <c r="C189" t="s">
        <v>51</v>
      </c>
      <c r="D189" t="s">
        <v>33</v>
      </c>
      <c r="E189" s="27">
        <v>45744</v>
      </c>
      <c r="G189" s="27"/>
      <c r="I189" s="27"/>
      <c r="L189" s="30" t="str">
        <f>IF(OR(CtpyRating[[#This Row],[FI_RATING]]="",_xlfn.XLOOKUP(CtpyRating[[#This Row],[CPTY_NAME]],S:S,U:U,"",0)=CtpyRating[[#This Row],[FI_RATING]],CtpyRating[[#This Row],[New Rating]]="Yes"),"No","Yes")</f>
        <v>No</v>
      </c>
      <c r="M18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89" s="30" t="str">
        <f>IF(AND(CtpyRating[[#This Row],[FI_RATING]]&lt;&gt;"",_xlfn.XLOOKUP(CtpyRating[[#This Row],[CPTY_NAME]],S:S,U:U,"",0)=""),"Yes","No")</f>
        <v>No</v>
      </c>
      <c r="O189" s="30"/>
      <c r="Q189">
        <v>7</v>
      </c>
      <c r="R189">
        <v>2026</v>
      </c>
      <c r="S189" t="s">
        <v>243</v>
      </c>
      <c r="T189" t="s">
        <v>493</v>
      </c>
      <c r="U189" t="s">
        <v>33</v>
      </c>
      <c r="V189" s="34">
        <v>46162</v>
      </c>
      <c r="W189"/>
      <c r="X189"/>
    </row>
    <row r="190" spans="1:24" x14ac:dyDescent="0.3">
      <c r="A190" t="s">
        <v>243</v>
      </c>
      <c r="B190" t="s">
        <v>493</v>
      </c>
      <c r="C190" t="s">
        <v>51</v>
      </c>
      <c r="D190" t="s">
        <v>33</v>
      </c>
      <c r="E190" s="27">
        <v>46162</v>
      </c>
      <c r="G190" s="27"/>
      <c r="I190" s="27"/>
      <c r="L190" s="30" t="str">
        <f>IF(OR(CtpyRating[[#This Row],[FI_RATING]]="",_xlfn.XLOOKUP(CtpyRating[[#This Row],[CPTY_NAME]],S:S,U:U,"",0)=CtpyRating[[#This Row],[FI_RATING]],CtpyRating[[#This Row],[New Rating]]="Yes"),"No","Yes")</f>
        <v>No</v>
      </c>
      <c r="M19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0" s="30" t="str">
        <f>IF(AND(CtpyRating[[#This Row],[FI_RATING]]&lt;&gt;"",_xlfn.XLOOKUP(CtpyRating[[#This Row],[CPTY_NAME]],S:S,U:U,"",0)=""),"Yes","No")</f>
        <v>No</v>
      </c>
      <c r="O190" s="30"/>
      <c r="Q190">
        <v>7</v>
      </c>
      <c r="R190">
        <v>2026</v>
      </c>
      <c r="S190" t="s">
        <v>245</v>
      </c>
      <c r="T190" t="s">
        <v>435</v>
      </c>
      <c r="U190" t="s">
        <v>20</v>
      </c>
      <c r="V190" s="34">
        <v>45803</v>
      </c>
      <c r="W190"/>
      <c r="X190"/>
    </row>
    <row r="191" spans="1:24" x14ac:dyDescent="0.3">
      <c r="A191" t="s">
        <v>245</v>
      </c>
      <c r="B191" t="s">
        <v>435</v>
      </c>
      <c r="C191" t="s">
        <v>100</v>
      </c>
      <c r="D191" t="s">
        <v>20</v>
      </c>
      <c r="E191" s="27">
        <v>45803</v>
      </c>
      <c r="G191" s="27"/>
      <c r="I191" s="27"/>
      <c r="L191" s="30" t="str">
        <f>IF(OR(CtpyRating[[#This Row],[FI_RATING]]="",_xlfn.XLOOKUP(CtpyRating[[#This Row],[CPTY_NAME]],S:S,U:U,"",0)=CtpyRating[[#This Row],[FI_RATING]],CtpyRating[[#This Row],[New Rating]]="Yes"),"No","Yes")</f>
        <v>No</v>
      </c>
      <c r="M19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1" s="30" t="str">
        <f>IF(AND(CtpyRating[[#This Row],[FI_RATING]]&lt;&gt;"",_xlfn.XLOOKUP(CtpyRating[[#This Row],[CPTY_NAME]],S:S,U:U,"",0)=""),"Yes","No")</f>
        <v>No</v>
      </c>
      <c r="O191" s="30"/>
      <c r="Q191">
        <v>7</v>
      </c>
      <c r="R191">
        <v>2026</v>
      </c>
      <c r="S191" t="s">
        <v>246</v>
      </c>
      <c r="T191" t="s">
        <v>436</v>
      </c>
      <c r="U191" t="s">
        <v>24</v>
      </c>
      <c r="V191" s="34">
        <v>46134</v>
      </c>
      <c r="W191"/>
      <c r="X191"/>
    </row>
    <row r="192" spans="1:24" x14ac:dyDescent="0.3">
      <c r="A192" t="s">
        <v>246</v>
      </c>
      <c r="B192" t="s">
        <v>436</v>
      </c>
      <c r="C192" t="s">
        <v>100</v>
      </c>
      <c r="D192" t="s">
        <v>24</v>
      </c>
      <c r="E192" s="27">
        <v>46134</v>
      </c>
      <c r="G192" s="27"/>
      <c r="I192" s="27"/>
      <c r="L192" s="30" t="str">
        <f>IF(OR(CtpyRating[[#This Row],[FI_RATING]]="",_xlfn.XLOOKUP(CtpyRating[[#This Row],[CPTY_NAME]],S:S,U:U,"",0)=CtpyRating[[#This Row],[FI_RATING]],CtpyRating[[#This Row],[New Rating]]="Yes"),"No","Yes")</f>
        <v>No</v>
      </c>
      <c r="M19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2" s="30" t="str">
        <f>IF(AND(CtpyRating[[#This Row],[FI_RATING]]&lt;&gt;"",_xlfn.XLOOKUP(CtpyRating[[#This Row],[CPTY_NAME]],S:S,U:U,"",0)=""),"Yes","No")</f>
        <v>No</v>
      </c>
      <c r="O192" s="30"/>
      <c r="Q192">
        <v>7</v>
      </c>
      <c r="R192">
        <v>2026</v>
      </c>
      <c r="S192" t="s">
        <v>247</v>
      </c>
      <c r="T192" t="s">
        <v>437</v>
      </c>
      <c r="U192" t="s">
        <v>33</v>
      </c>
      <c r="V192" s="34">
        <v>45853</v>
      </c>
      <c r="W192"/>
      <c r="X192"/>
    </row>
    <row r="193" spans="1:24" x14ac:dyDescent="0.3">
      <c r="A193" t="s">
        <v>247</v>
      </c>
      <c r="B193" t="s">
        <v>437</v>
      </c>
      <c r="C193" t="s">
        <v>71</v>
      </c>
      <c r="D193" t="s">
        <v>33</v>
      </c>
      <c r="E193" s="27">
        <v>45853</v>
      </c>
      <c r="G193" s="27"/>
      <c r="I193" s="27"/>
      <c r="L193" s="30" t="str">
        <f>IF(OR(CtpyRating[[#This Row],[FI_RATING]]="",_xlfn.XLOOKUP(CtpyRating[[#This Row],[CPTY_NAME]],S:S,U:U,"",0)=CtpyRating[[#This Row],[FI_RATING]],CtpyRating[[#This Row],[New Rating]]="Yes"),"No","Yes")</f>
        <v>No</v>
      </c>
      <c r="M19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3" s="30" t="str">
        <f>IF(AND(CtpyRating[[#This Row],[FI_RATING]]&lt;&gt;"",_xlfn.XLOOKUP(CtpyRating[[#This Row],[CPTY_NAME]],S:S,U:U,"",0)=""),"Yes","No")</f>
        <v>No</v>
      </c>
      <c r="O193" s="30"/>
      <c r="Q193">
        <v>7</v>
      </c>
      <c r="R193">
        <v>2026</v>
      </c>
      <c r="S193" t="s">
        <v>472</v>
      </c>
      <c r="T193" t="s">
        <v>248</v>
      </c>
      <c r="U193" t="s">
        <v>20</v>
      </c>
      <c r="V193" s="34"/>
      <c r="W193"/>
      <c r="X193"/>
    </row>
    <row r="194" spans="1:24" x14ac:dyDescent="0.3">
      <c r="A194" t="s">
        <v>472</v>
      </c>
      <c r="C194" t="s">
        <v>484</v>
      </c>
      <c r="D194" t="s">
        <v>20</v>
      </c>
      <c r="E194" s="27"/>
      <c r="G194" s="27"/>
      <c r="I194" s="27"/>
      <c r="L194" s="30" t="str">
        <f>IF(OR(CtpyRating[[#This Row],[FI_RATING]]="",_xlfn.XLOOKUP(CtpyRating[[#This Row],[CPTY_NAME]],S:S,U:U,"",0)=CtpyRating[[#This Row],[FI_RATING]],CtpyRating[[#This Row],[New Rating]]="Yes"),"No","Yes")</f>
        <v>No</v>
      </c>
      <c r="M19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4" s="30" t="str">
        <f>IF(AND(CtpyRating[[#This Row],[FI_RATING]]&lt;&gt;"",_xlfn.XLOOKUP(CtpyRating[[#This Row],[CPTY_NAME]],S:S,U:U,"",0)=""),"Yes","No")</f>
        <v>No</v>
      </c>
      <c r="O194" s="30"/>
      <c r="Q194">
        <v>7</v>
      </c>
      <c r="R194">
        <v>2026</v>
      </c>
      <c r="S194" t="s">
        <v>489</v>
      </c>
      <c r="T194" t="s">
        <v>248</v>
      </c>
      <c r="U194" t="s">
        <v>495</v>
      </c>
      <c r="V194" s="34"/>
      <c r="W194"/>
      <c r="X194"/>
    </row>
    <row r="195" spans="1:24" x14ac:dyDescent="0.3">
      <c r="A195" t="s">
        <v>489</v>
      </c>
      <c r="C195" t="s">
        <v>100</v>
      </c>
      <c r="D195" t="s">
        <v>495</v>
      </c>
      <c r="E195" s="27"/>
      <c r="G195" s="27"/>
      <c r="I195" s="27"/>
      <c r="L195" s="30" t="str">
        <f>IF(OR(CtpyRating[[#This Row],[FI_RATING]]="",_xlfn.XLOOKUP(CtpyRating[[#This Row],[CPTY_NAME]],S:S,U:U,"",0)=CtpyRating[[#This Row],[FI_RATING]],CtpyRating[[#This Row],[New Rating]]="Yes"),"No","Yes")</f>
        <v>No</v>
      </c>
      <c r="M195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5" s="30" t="str">
        <f>IF(AND(CtpyRating[[#This Row],[FI_RATING]]&lt;&gt;"",_xlfn.XLOOKUP(CtpyRating[[#This Row],[CPTY_NAME]],S:S,U:U,"",0)=""),"Yes","No")</f>
        <v>No</v>
      </c>
      <c r="Q195">
        <v>7</v>
      </c>
      <c r="R195">
        <v>2026</v>
      </c>
      <c r="S195" t="s">
        <v>490</v>
      </c>
      <c r="T195" t="s">
        <v>248</v>
      </c>
      <c r="U195" t="s">
        <v>31</v>
      </c>
      <c r="V195" s="34">
        <v>45992</v>
      </c>
      <c r="W195"/>
      <c r="X195"/>
    </row>
    <row r="196" spans="1:24" x14ac:dyDescent="0.3">
      <c r="A196" t="s">
        <v>490</v>
      </c>
      <c r="C196" t="s">
        <v>100</v>
      </c>
      <c r="D196" t="s">
        <v>31</v>
      </c>
      <c r="E196" s="27">
        <v>45992</v>
      </c>
      <c r="G196" s="27"/>
      <c r="I196" s="27"/>
      <c r="L196" s="30" t="str">
        <f>IF(OR(CtpyRating[[#This Row],[FI_RATING]]="",_xlfn.XLOOKUP(CtpyRating[[#This Row],[CPTY_NAME]],S:S,U:U,"",0)=CtpyRating[[#This Row],[FI_RATING]],CtpyRating[[#This Row],[New Rating]]="Yes"),"No","Yes")</f>
        <v>No</v>
      </c>
      <c r="M196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6" s="30" t="str">
        <f>IF(AND(CtpyRating[[#This Row],[FI_RATING]]&lt;&gt;"",_xlfn.XLOOKUP(CtpyRating[[#This Row],[CPTY_NAME]],S:S,U:U,"",0)=""),"Yes","No")</f>
        <v>No</v>
      </c>
      <c r="Q196">
        <v>7</v>
      </c>
      <c r="R196">
        <v>2026</v>
      </c>
      <c r="S196" t="s">
        <v>491</v>
      </c>
      <c r="T196" t="s">
        <v>492</v>
      </c>
      <c r="U196" t="s">
        <v>20</v>
      </c>
      <c r="V196" s="34">
        <v>46185</v>
      </c>
      <c r="W196"/>
      <c r="X196"/>
    </row>
    <row r="197" spans="1:24" x14ac:dyDescent="0.3">
      <c r="A197" t="s">
        <v>491</v>
      </c>
      <c r="B197" t="s">
        <v>492</v>
      </c>
      <c r="C197" t="s">
        <v>100</v>
      </c>
      <c r="D197" t="s">
        <v>20</v>
      </c>
      <c r="E197" s="27">
        <v>46185</v>
      </c>
      <c r="G197" s="27"/>
      <c r="I197" s="27"/>
      <c r="L197" s="30" t="str">
        <f>IF(OR(CtpyRating[[#This Row],[FI_RATING]]="",_xlfn.XLOOKUP(CtpyRating[[#This Row],[CPTY_NAME]],S:S,U:U,"",0)=CtpyRating[[#This Row],[FI_RATING]],CtpyRating[[#This Row],[New Rating]]="Yes"),"No","Yes")</f>
        <v>No</v>
      </c>
      <c r="M197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7" s="30" t="str">
        <f>IF(AND(CtpyRating[[#This Row],[FI_RATING]]&lt;&gt;"",_xlfn.XLOOKUP(CtpyRating[[#This Row],[CPTY_NAME]],S:S,U:U,"",0)=""),"Yes","No")</f>
        <v>No</v>
      </c>
      <c r="Q197">
        <v>7</v>
      </c>
      <c r="R197">
        <v>2026</v>
      </c>
      <c r="S197" t="s">
        <v>494</v>
      </c>
      <c r="T197" t="s">
        <v>248</v>
      </c>
      <c r="U197" t="s">
        <v>33</v>
      </c>
      <c r="V197" s="34">
        <v>46045</v>
      </c>
      <c r="W197"/>
      <c r="X197"/>
    </row>
    <row r="198" spans="1:24" x14ac:dyDescent="0.3">
      <c r="A198" t="s">
        <v>494</v>
      </c>
      <c r="C198" t="s">
        <v>51</v>
      </c>
      <c r="D198" t="s">
        <v>33</v>
      </c>
      <c r="E198" s="27">
        <v>46045</v>
      </c>
      <c r="G198" s="27"/>
      <c r="I198" s="27"/>
      <c r="L198" s="30" t="str">
        <f>IF(OR(CtpyRating[[#This Row],[FI_RATING]]="",_xlfn.XLOOKUP(CtpyRating[[#This Row],[CPTY_NAME]],S:S,U:U,"",0)=CtpyRating[[#This Row],[FI_RATING]],CtpyRating[[#This Row],[New Rating]]="Yes"),"No","Yes")</f>
        <v>No</v>
      </c>
      <c r="M198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8" s="30" t="str">
        <f>IF(AND(CtpyRating[[#This Row],[FI_RATING]]&lt;&gt;"",_xlfn.XLOOKUP(CtpyRating[[#This Row],[CPTY_NAME]],S:S,U:U,"",0)=""),"Yes","No")</f>
        <v>No</v>
      </c>
      <c r="W198"/>
      <c r="X198"/>
    </row>
    <row r="199" spans="1:24" x14ac:dyDescent="0.3">
      <c r="A199" t="s">
        <v>581</v>
      </c>
      <c r="B199" t="s">
        <v>587</v>
      </c>
      <c r="C199" t="s">
        <v>134</v>
      </c>
      <c r="D199" t="s">
        <v>24</v>
      </c>
      <c r="E199" s="27">
        <v>46182</v>
      </c>
      <c r="G199" s="27"/>
      <c r="I199" s="27"/>
      <c r="L199" s="30" t="str">
        <f>IF(OR(CtpyRating[[#This Row],[FI_RATING]]="",_xlfn.XLOOKUP(CtpyRating[[#This Row],[CPTY_NAME]],S:S,U:U,"",0)=CtpyRating[[#This Row],[FI_RATING]],CtpyRating[[#This Row],[New Rating]]="Yes"),"No","Yes")</f>
        <v>No</v>
      </c>
      <c r="M199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199" s="30" t="str">
        <f>IF(AND(CtpyRating[[#This Row],[FI_RATING]]&lt;&gt;"",_xlfn.XLOOKUP(CtpyRating[[#This Row],[CPTY_NAME]],S:S,U:U,"",0)=""),"Yes","No")</f>
        <v>Yes</v>
      </c>
    </row>
    <row r="200" spans="1:24" x14ac:dyDescent="0.3">
      <c r="A200" t="s">
        <v>582</v>
      </c>
      <c r="C200" t="s">
        <v>583</v>
      </c>
      <c r="E200" s="27"/>
      <c r="F200" t="s">
        <v>40</v>
      </c>
      <c r="G200" s="27">
        <v>46132</v>
      </c>
      <c r="H200" t="s">
        <v>42</v>
      </c>
      <c r="I200" s="27">
        <v>45849</v>
      </c>
      <c r="J200" t="s">
        <v>62</v>
      </c>
      <c r="K200">
        <v>45744</v>
      </c>
      <c r="L200" s="30" t="str">
        <f>IF(OR(CtpyRating[[#This Row],[FI_RATING]]="",_xlfn.XLOOKUP(CtpyRating[[#This Row],[CPTY_NAME]],S:S,U:U,"",0)=CtpyRating[[#This Row],[FI_RATING]],CtpyRating[[#This Row],[New Rating]]="Yes"),"No","Yes")</f>
        <v>No</v>
      </c>
      <c r="M200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0" s="30" t="str">
        <f>IF(AND(CtpyRating[[#This Row],[FI_RATING]]&lt;&gt;"",_xlfn.XLOOKUP(CtpyRating[[#This Row],[CPTY_NAME]],S:S,U:U,"",0)=""),"Yes","No")</f>
        <v>No</v>
      </c>
    </row>
    <row r="201" spans="1:24" x14ac:dyDescent="0.3">
      <c r="E201" s="27"/>
      <c r="G201" s="27"/>
      <c r="I201" s="27"/>
      <c r="L201" s="30" t="str">
        <f>IF(OR(CtpyRating[[#This Row],[FI_RATING]]="",_xlfn.XLOOKUP(CtpyRating[[#This Row],[CPTY_NAME]],S:S,U:U,"",0)=CtpyRating[[#This Row],[FI_RATING]],CtpyRating[[#This Row],[New Rating]]="Yes"),"No","Yes")</f>
        <v>No</v>
      </c>
      <c r="M201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1" s="30" t="str">
        <f>IF(AND(CtpyRating[[#This Row],[FI_RATING]]&lt;&gt;"",_xlfn.XLOOKUP(CtpyRating[[#This Row],[CPTY_NAME]],S:S,U:U,"",0)=""),"Yes","No")</f>
        <v>No</v>
      </c>
    </row>
    <row r="202" spans="1:24" x14ac:dyDescent="0.3">
      <c r="E202" s="27"/>
      <c r="G202" s="27"/>
      <c r="I202" s="27"/>
      <c r="L202" s="30" t="str">
        <f>IF(OR(CtpyRating[[#This Row],[FI_RATING]]="",_xlfn.XLOOKUP(CtpyRating[[#This Row],[CPTY_NAME]],S:S,U:U,"",0)=CtpyRating[[#This Row],[FI_RATING]],CtpyRating[[#This Row],[New Rating]]="Yes"),"No","Yes")</f>
        <v>No</v>
      </c>
      <c r="M202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2" s="30" t="str">
        <f>IF(AND(CtpyRating[[#This Row],[FI_RATING]]&lt;&gt;"",_xlfn.XLOOKUP(CtpyRating[[#This Row],[CPTY_NAME]],S:S,U:U,"",0)=""),"Yes","No")</f>
        <v>No</v>
      </c>
    </row>
    <row r="203" spans="1:24" x14ac:dyDescent="0.3">
      <c r="E203" s="27"/>
      <c r="G203" s="27"/>
      <c r="I203" s="27"/>
      <c r="L203" s="30" t="str">
        <f>IF(OR(CtpyRating[[#This Row],[FI_RATING]]="",_xlfn.XLOOKUP(CtpyRating[[#This Row],[CPTY_NAME]],S:S,U:U,"",0)=CtpyRating[[#This Row],[FI_RATING]],CtpyRating[[#This Row],[New Rating]]="Yes"),"No","Yes")</f>
        <v>No</v>
      </c>
      <c r="M203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3" s="30" t="str">
        <f>IF(AND(CtpyRating[[#This Row],[FI_RATING]]&lt;&gt;"",_xlfn.XLOOKUP(CtpyRating[[#This Row],[CPTY_NAME]],S:S,U:U,"",0)=""),"Yes","No")</f>
        <v>No</v>
      </c>
    </row>
    <row r="204" spans="1:24" x14ac:dyDescent="0.3">
      <c r="E204" s="27"/>
      <c r="G204" s="27"/>
      <c r="I204" s="27"/>
      <c r="L204" s="30" t="str">
        <f>IF(OR(CtpyRating[[#This Row],[FI_RATING]]="",_xlfn.XLOOKUP(CtpyRating[[#This Row],[CPTY_NAME]],S:S,U:U,"",0)=CtpyRating[[#This Row],[FI_RATING]],CtpyRating[[#This Row],[New Rating]]="Yes"),"No","Yes")</f>
        <v>No</v>
      </c>
      <c r="M204" s="30" t="str">
        <f>IF(OR(CtpyRating[[#This Row],[FI_RATING_DATE]]="",CtpyRating[[#This Row],[FI_RATING_DATE]]=_xlfn.XLOOKUP(CtpyRating[[#This Row],[CPTY_NAME]],S:S,V:V,"",0),CtpyRating[[#This Row],[New Rating]]="Yes"),"No","Yes")</f>
        <v>No</v>
      </c>
      <c r="N204" s="30" t="str">
        <f>IF(AND(CtpyRating[[#This Row],[FI_RATING]]&lt;&gt;"",_xlfn.XLOOKUP(CtpyRating[[#This Row],[CPTY_NAME]],S:S,U:U,"",0)=""),"Yes","No")</f>
        <v>No</v>
      </c>
    </row>
  </sheetData>
  <phoneticPr fontId="6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E3D9B-506A-4E78-90F6-54ABA775276D}">
  <sheetPr codeName="Sheet4"/>
  <dimension ref="A1:B194"/>
  <sheetViews>
    <sheetView workbookViewId="0">
      <pane ySplit="1" topLeftCell="A29" activePane="bottomLeft" state="frozen"/>
      <selection pane="bottomLeft" activeCell="B1" sqref="B1"/>
    </sheetView>
  </sheetViews>
  <sheetFormatPr defaultRowHeight="14.4" x14ac:dyDescent="0.3"/>
  <cols>
    <col min="1" max="1" width="22" customWidth="1"/>
    <col min="2" max="2" width="64" bestFit="1" customWidth="1"/>
  </cols>
  <sheetData>
    <row r="1" spans="1:2" x14ac:dyDescent="0.3">
      <c r="A1" s="8" t="s">
        <v>249</v>
      </c>
      <c r="B1" s="8" t="s">
        <v>250</v>
      </c>
    </row>
    <row r="2" spans="1:2" x14ac:dyDescent="0.3">
      <c r="A2" t="s">
        <v>251</v>
      </c>
      <c r="B2" t="s">
        <v>16</v>
      </c>
    </row>
    <row r="3" spans="1:2" x14ac:dyDescent="0.3">
      <c r="A3" t="s">
        <v>252</v>
      </c>
      <c r="B3" t="s">
        <v>19</v>
      </c>
    </row>
    <row r="4" spans="1:2" x14ac:dyDescent="0.3">
      <c r="A4" t="s">
        <v>253</v>
      </c>
      <c r="B4" t="s">
        <v>23</v>
      </c>
    </row>
    <row r="5" spans="1:2" x14ac:dyDescent="0.3">
      <c r="A5" t="s">
        <v>254</v>
      </c>
      <c r="B5" t="s">
        <v>26</v>
      </c>
    </row>
    <row r="6" spans="1:2" x14ac:dyDescent="0.3">
      <c r="A6" t="s">
        <v>255</v>
      </c>
      <c r="B6" t="s">
        <v>28</v>
      </c>
    </row>
    <row r="7" spans="1:2" x14ac:dyDescent="0.3">
      <c r="A7" t="s">
        <v>256</v>
      </c>
      <c r="B7" t="s">
        <v>30</v>
      </c>
    </row>
    <row r="8" spans="1:2" x14ac:dyDescent="0.3">
      <c r="A8" t="s">
        <v>257</v>
      </c>
      <c r="B8" t="s">
        <v>32</v>
      </c>
    </row>
    <row r="9" spans="1:2" x14ac:dyDescent="0.3">
      <c r="A9" t="s">
        <v>258</v>
      </c>
      <c r="B9" t="s">
        <v>34</v>
      </c>
    </row>
    <row r="10" spans="1:2" x14ac:dyDescent="0.3">
      <c r="A10" t="s">
        <v>259</v>
      </c>
      <c r="B10" t="s">
        <v>35</v>
      </c>
    </row>
    <row r="11" spans="1:2" x14ac:dyDescent="0.3">
      <c r="A11" t="s">
        <v>260</v>
      </c>
      <c r="B11" t="s">
        <v>36</v>
      </c>
    </row>
    <row r="12" spans="1:2" x14ac:dyDescent="0.3">
      <c r="A12" t="s">
        <v>261</v>
      </c>
      <c r="B12" t="s">
        <v>37</v>
      </c>
    </row>
    <row r="13" spans="1:2" x14ac:dyDescent="0.3">
      <c r="A13" t="s">
        <v>262</v>
      </c>
      <c r="B13" t="s">
        <v>39</v>
      </c>
    </row>
    <row r="14" spans="1:2" x14ac:dyDescent="0.3">
      <c r="A14" t="s">
        <v>263</v>
      </c>
      <c r="B14" t="s">
        <v>41</v>
      </c>
    </row>
    <row r="15" spans="1:2" x14ac:dyDescent="0.3">
      <c r="A15" t="s">
        <v>264</v>
      </c>
      <c r="B15" t="s">
        <v>43</v>
      </c>
    </row>
    <row r="16" spans="1:2" x14ac:dyDescent="0.3">
      <c r="A16" t="s">
        <v>265</v>
      </c>
      <c r="B16" t="s">
        <v>44</v>
      </c>
    </row>
    <row r="17" spans="1:2" x14ac:dyDescent="0.3">
      <c r="A17" t="s">
        <v>266</v>
      </c>
      <c r="B17" t="s">
        <v>45</v>
      </c>
    </row>
    <row r="18" spans="1:2" x14ac:dyDescent="0.3">
      <c r="A18" t="s">
        <v>267</v>
      </c>
      <c r="B18" t="s">
        <v>46</v>
      </c>
    </row>
    <row r="19" spans="1:2" x14ac:dyDescent="0.3">
      <c r="A19" t="s">
        <v>268</v>
      </c>
      <c r="B19" t="s">
        <v>47</v>
      </c>
    </row>
    <row r="20" spans="1:2" x14ac:dyDescent="0.3">
      <c r="A20" t="s">
        <v>269</v>
      </c>
      <c r="B20" t="s">
        <v>48</v>
      </c>
    </row>
    <row r="21" spans="1:2" x14ac:dyDescent="0.3">
      <c r="A21" t="s">
        <v>270</v>
      </c>
      <c r="B21" t="s">
        <v>49</v>
      </c>
    </row>
    <row r="22" spans="1:2" x14ac:dyDescent="0.3">
      <c r="A22" t="s">
        <v>271</v>
      </c>
      <c r="B22" t="s">
        <v>50</v>
      </c>
    </row>
    <row r="23" spans="1:2" x14ac:dyDescent="0.3">
      <c r="A23" t="s">
        <v>272</v>
      </c>
      <c r="B23" t="s">
        <v>53</v>
      </c>
    </row>
    <row r="24" spans="1:2" x14ac:dyDescent="0.3">
      <c r="A24" t="s">
        <v>273</v>
      </c>
      <c r="B24" t="s">
        <v>54</v>
      </c>
    </row>
    <row r="25" spans="1:2" x14ac:dyDescent="0.3">
      <c r="A25" t="s">
        <v>274</v>
      </c>
      <c r="B25" t="s">
        <v>55</v>
      </c>
    </row>
    <row r="26" spans="1:2" x14ac:dyDescent="0.3">
      <c r="A26" t="s">
        <v>275</v>
      </c>
      <c r="B26" t="s">
        <v>56</v>
      </c>
    </row>
    <row r="27" spans="1:2" x14ac:dyDescent="0.3">
      <c r="A27" t="s">
        <v>276</v>
      </c>
      <c r="B27" t="s">
        <v>57</v>
      </c>
    </row>
    <row r="28" spans="1:2" x14ac:dyDescent="0.3">
      <c r="A28" t="s">
        <v>277</v>
      </c>
      <c r="B28" t="s">
        <v>58</v>
      </c>
    </row>
    <row r="29" spans="1:2" x14ac:dyDescent="0.3">
      <c r="A29" t="s">
        <v>278</v>
      </c>
      <c r="B29" t="s">
        <v>59</v>
      </c>
    </row>
    <row r="30" spans="1:2" x14ac:dyDescent="0.3">
      <c r="A30" t="s">
        <v>279</v>
      </c>
      <c r="B30" t="s">
        <v>60</v>
      </c>
    </row>
    <row r="31" spans="1:2" x14ac:dyDescent="0.3">
      <c r="A31" t="s">
        <v>280</v>
      </c>
      <c r="B31" t="s">
        <v>61</v>
      </c>
    </row>
    <row r="32" spans="1:2" x14ac:dyDescent="0.3">
      <c r="A32" t="s">
        <v>281</v>
      </c>
      <c r="B32" t="s">
        <v>63</v>
      </c>
    </row>
    <row r="33" spans="1:2" x14ac:dyDescent="0.3">
      <c r="A33" t="s">
        <v>282</v>
      </c>
      <c r="B33" t="s">
        <v>64</v>
      </c>
    </row>
    <row r="34" spans="1:2" x14ac:dyDescent="0.3">
      <c r="A34" t="s">
        <v>283</v>
      </c>
      <c r="B34" t="s">
        <v>66</v>
      </c>
    </row>
    <row r="35" spans="1:2" x14ac:dyDescent="0.3">
      <c r="A35" t="s">
        <v>284</v>
      </c>
      <c r="B35" t="s">
        <v>67</v>
      </c>
    </row>
    <row r="36" spans="1:2" x14ac:dyDescent="0.3">
      <c r="A36" t="s">
        <v>285</v>
      </c>
      <c r="B36" t="s">
        <v>68</v>
      </c>
    </row>
    <row r="37" spans="1:2" x14ac:dyDescent="0.3">
      <c r="A37" t="s">
        <v>286</v>
      </c>
      <c r="B37" t="s">
        <v>69</v>
      </c>
    </row>
    <row r="38" spans="1:2" x14ac:dyDescent="0.3">
      <c r="A38" t="s">
        <v>287</v>
      </c>
      <c r="B38" t="s">
        <v>70</v>
      </c>
    </row>
    <row r="39" spans="1:2" x14ac:dyDescent="0.3">
      <c r="A39" t="s">
        <v>288</v>
      </c>
      <c r="B39" t="s">
        <v>72</v>
      </c>
    </row>
    <row r="40" spans="1:2" x14ac:dyDescent="0.3">
      <c r="A40" t="s">
        <v>289</v>
      </c>
      <c r="B40" t="s">
        <v>74</v>
      </c>
    </row>
    <row r="41" spans="1:2" x14ac:dyDescent="0.3">
      <c r="A41" t="s">
        <v>290</v>
      </c>
      <c r="B41" t="s">
        <v>75</v>
      </c>
    </row>
    <row r="42" spans="1:2" x14ac:dyDescent="0.3">
      <c r="A42" t="s">
        <v>291</v>
      </c>
      <c r="B42" t="s">
        <v>76</v>
      </c>
    </row>
    <row r="43" spans="1:2" x14ac:dyDescent="0.3">
      <c r="A43" t="s">
        <v>292</v>
      </c>
      <c r="B43" t="s">
        <v>77</v>
      </c>
    </row>
    <row r="44" spans="1:2" x14ac:dyDescent="0.3">
      <c r="A44" t="s">
        <v>293</v>
      </c>
      <c r="B44" t="s">
        <v>78</v>
      </c>
    </row>
    <row r="45" spans="1:2" x14ac:dyDescent="0.3">
      <c r="A45" t="s">
        <v>294</v>
      </c>
      <c r="B45" t="s">
        <v>79</v>
      </c>
    </row>
    <row r="46" spans="1:2" x14ac:dyDescent="0.3">
      <c r="A46" t="s">
        <v>295</v>
      </c>
      <c r="B46" t="s">
        <v>80</v>
      </c>
    </row>
    <row r="47" spans="1:2" x14ac:dyDescent="0.3">
      <c r="A47" t="s">
        <v>296</v>
      </c>
      <c r="B47" t="s">
        <v>81</v>
      </c>
    </row>
    <row r="48" spans="1:2" x14ac:dyDescent="0.3">
      <c r="A48" t="s">
        <v>297</v>
      </c>
      <c r="B48" t="s">
        <v>82</v>
      </c>
    </row>
    <row r="49" spans="1:2" x14ac:dyDescent="0.3">
      <c r="A49" t="s">
        <v>298</v>
      </c>
      <c r="B49" t="s">
        <v>83</v>
      </c>
    </row>
    <row r="50" spans="1:2" x14ac:dyDescent="0.3">
      <c r="A50" t="s">
        <v>299</v>
      </c>
      <c r="B50" t="s">
        <v>84</v>
      </c>
    </row>
    <row r="51" spans="1:2" x14ac:dyDescent="0.3">
      <c r="A51" t="s">
        <v>300</v>
      </c>
      <c r="B51" t="s">
        <v>85</v>
      </c>
    </row>
    <row r="52" spans="1:2" x14ac:dyDescent="0.3">
      <c r="A52" t="s">
        <v>301</v>
      </c>
      <c r="B52" t="s">
        <v>86</v>
      </c>
    </row>
    <row r="53" spans="1:2" x14ac:dyDescent="0.3">
      <c r="A53" t="s">
        <v>302</v>
      </c>
      <c r="B53" t="s">
        <v>87</v>
      </c>
    </row>
    <row r="54" spans="1:2" x14ac:dyDescent="0.3">
      <c r="A54" t="s">
        <v>303</v>
      </c>
      <c r="B54" t="s">
        <v>88</v>
      </c>
    </row>
    <row r="55" spans="1:2" x14ac:dyDescent="0.3">
      <c r="A55" t="s">
        <v>304</v>
      </c>
      <c r="B55" t="s">
        <v>89</v>
      </c>
    </row>
    <row r="56" spans="1:2" x14ac:dyDescent="0.3">
      <c r="A56" t="s">
        <v>305</v>
      </c>
      <c r="B56" t="s">
        <v>90</v>
      </c>
    </row>
    <row r="57" spans="1:2" x14ac:dyDescent="0.3">
      <c r="A57" t="s">
        <v>306</v>
      </c>
      <c r="B57" t="s">
        <v>91</v>
      </c>
    </row>
    <row r="58" spans="1:2" x14ac:dyDescent="0.3">
      <c r="A58" t="s">
        <v>307</v>
      </c>
      <c r="B58" t="s">
        <v>92</v>
      </c>
    </row>
    <row r="59" spans="1:2" x14ac:dyDescent="0.3">
      <c r="A59" t="s">
        <v>308</v>
      </c>
      <c r="B59" t="s">
        <v>93</v>
      </c>
    </row>
    <row r="60" spans="1:2" x14ac:dyDescent="0.3">
      <c r="A60" t="s">
        <v>309</v>
      </c>
      <c r="B60" t="s">
        <v>94</v>
      </c>
    </row>
    <row r="61" spans="1:2" x14ac:dyDescent="0.3">
      <c r="A61" t="s">
        <v>310</v>
      </c>
      <c r="B61" t="s">
        <v>95</v>
      </c>
    </row>
    <row r="62" spans="1:2" x14ac:dyDescent="0.3">
      <c r="A62" t="s">
        <v>311</v>
      </c>
      <c r="B62" t="s">
        <v>96</v>
      </c>
    </row>
    <row r="63" spans="1:2" x14ac:dyDescent="0.3">
      <c r="A63" t="s">
        <v>312</v>
      </c>
      <c r="B63" t="s">
        <v>97</v>
      </c>
    </row>
    <row r="64" spans="1:2" x14ac:dyDescent="0.3">
      <c r="A64" t="s">
        <v>313</v>
      </c>
      <c r="B64" t="s">
        <v>99</v>
      </c>
    </row>
    <row r="65" spans="1:2" x14ac:dyDescent="0.3">
      <c r="A65" t="s">
        <v>314</v>
      </c>
      <c r="B65" t="s">
        <v>101</v>
      </c>
    </row>
    <row r="66" spans="1:2" x14ac:dyDescent="0.3">
      <c r="A66" t="s">
        <v>315</v>
      </c>
      <c r="B66" t="s">
        <v>102</v>
      </c>
    </row>
    <row r="67" spans="1:2" x14ac:dyDescent="0.3">
      <c r="A67" t="s">
        <v>316</v>
      </c>
      <c r="B67" t="s">
        <v>103</v>
      </c>
    </row>
    <row r="68" spans="1:2" x14ac:dyDescent="0.3">
      <c r="A68" t="s">
        <v>317</v>
      </c>
      <c r="B68" t="s">
        <v>104</v>
      </c>
    </row>
    <row r="69" spans="1:2" x14ac:dyDescent="0.3">
      <c r="A69" t="s">
        <v>318</v>
      </c>
      <c r="B69" t="s">
        <v>105</v>
      </c>
    </row>
    <row r="70" spans="1:2" x14ac:dyDescent="0.3">
      <c r="A70" t="s">
        <v>319</v>
      </c>
      <c r="B70" t="s">
        <v>106</v>
      </c>
    </row>
    <row r="71" spans="1:2" x14ac:dyDescent="0.3">
      <c r="A71" t="s">
        <v>320</v>
      </c>
      <c r="B71" t="s">
        <v>107</v>
      </c>
    </row>
    <row r="72" spans="1:2" x14ac:dyDescent="0.3">
      <c r="A72" t="s">
        <v>321</v>
      </c>
      <c r="B72" t="s">
        <v>108</v>
      </c>
    </row>
    <row r="73" spans="1:2" x14ac:dyDescent="0.3">
      <c r="A73" t="s">
        <v>322</v>
      </c>
      <c r="B73" t="s">
        <v>109</v>
      </c>
    </row>
    <row r="74" spans="1:2" x14ac:dyDescent="0.3">
      <c r="A74" t="s">
        <v>323</v>
      </c>
      <c r="B74" t="s">
        <v>110</v>
      </c>
    </row>
    <row r="75" spans="1:2" x14ac:dyDescent="0.3">
      <c r="A75" t="s">
        <v>324</v>
      </c>
      <c r="B75" t="s">
        <v>111</v>
      </c>
    </row>
    <row r="76" spans="1:2" x14ac:dyDescent="0.3">
      <c r="A76" t="s">
        <v>325</v>
      </c>
      <c r="B76" t="s">
        <v>112</v>
      </c>
    </row>
    <row r="77" spans="1:2" x14ac:dyDescent="0.3">
      <c r="A77" t="s">
        <v>326</v>
      </c>
      <c r="B77" t="s">
        <v>113</v>
      </c>
    </row>
    <row r="78" spans="1:2" x14ac:dyDescent="0.3">
      <c r="A78" t="s">
        <v>327</v>
      </c>
      <c r="B78" t="s">
        <v>114</v>
      </c>
    </row>
    <row r="79" spans="1:2" x14ac:dyDescent="0.3">
      <c r="A79" t="s">
        <v>328</v>
      </c>
      <c r="B79" t="s">
        <v>116</v>
      </c>
    </row>
    <row r="80" spans="1:2" x14ac:dyDescent="0.3">
      <c r="A80" t="s">
        <v>329</v>
      </c>
      <c r="B80" t="s">
        <v>117</v>
      </c>
    </row>
    <row r="81" spans="1:2" x14ac:dyDescent="0.3">
      <c r="A81" t="s">
        <v>330</v>
      </c>
      <c r="B81" t="s">
        <v>118</v>
      </c>
    </row>
    <row r="82" spans="1:2" x14ac:dyDescent="0.3">
      <c r="A82" t="s">
        <v>331</v>
      </c>
      <c r="B82" t="s">
        <v>119</v>
      </c>
    </row>
    <row r="83" spans="1:2" x14ac:dyDescent="0.3">
      <c r="A83" t="s">
        <v>332</v>
      </c>
      <c r="B83" t="s">
        <v>120</v>
      </c>
    </row>
    <row r="84" spans="1:2" x14ac:dyDescent="0.3">
      <c r="A84" t="s">
        <v>333</v>
      </c>
      <c r="B84" t="s">
        <v>121</v>
      </c>
    </row>
    <row r="85" spans="1:2" x14ac:dyDescent="0.3">
      <c r="A85" t="s">
        <v>334</v>
      </c>
      <c r="B85" t="s">
        <v>122</v>
      </c>
    </row>
    <row r="86" spans="1:2" x14ac:dyDescent="0.3">
      <c r="A86" t="s">
        <v>335</v>
      </c>
      <c r="B86" t="s">
        <v>123</v>
      </c>
    </row>
    <row r="87" spans="1:2" x14ac:dyDescent="0.3">
      <c r="A87" t="s">
        <v>336</v>
      </c>
      <c r="B87" t="s">
        <v>124</v>
      </c>
    </row>
    <row r="88" spans="1:2" x14ac:dyDescent="0.3">
      <c r="A88" t="s">
        <v>337</v>
      </c>
      <c r="B88" t="s">
        <v>125</v>
      </c>
    </row>
    <row r="89" spans="1:2" x14ac:dyDescent="0.3">
      <c r="A89" t="s">
        <v>338</v>
      </c>
      <c r="B89" t="s">
        <v>127</v>
      </c>
    </row>
    <row r="90" spans="1:2" x14ac:dyDescent="0.3">
      <c r="A90" t="s">
        <v>339</v>
      </c>
      <c r="B90" t="s">
        <v>128</v>
      </c>
    </row>
    <row r="91" spans="1:2" x14ac:dyDescent="0.3">
      <c r="A91" t="s">
        <v>340</v>
      </c>
      <c r="B91" t="s">
        <v>129</v>
      </c>
    </row>
    <row r="92" spans="1:2" x14ac:dyDescent="0.3">
      <c r="A92" t="s">
        <v>341</v>
      </c>
      <c r="B92" t="s">
        <v>130</v>
      </c>
    </row>
    <row r="93" spans="1:2" x14ac:dyDescent="0.3">
      <c r="A93" t="s">
        <v>342</v>
      </c>
      <c r="B93" t="s">
        <v>131</v>
      </c>
    </row>
    <row r="94" spans="1:2" x14ac:dyDescent="0.3">
      <c r="A94" t="s">
        <v>343</v>
      </c>
      <c r="B94" t="s">
        <v>132</v>
      </c>
    </row>
    <row r="95" spans="1:2" x14ac:dyDescent="0.3">
      <c r="A95" t="s">
        <v>344</v>
      </c>
      <c r="B95" t="s">
        <v>133</v>
      </c>
    </row>
    <row r="96" spans="1:2" x14ac:dyDescent="0.3">
      <c r="A96" t="s">
        <v>345</v>
      </c>
      <c r="B96" t="s">
        <v>136</v>
      </c>
    </row>
    <row r="97" spans="1:2" x14ac:dyDescent="0.3">
      <c r="A97" t="s">
        <v>346</v>
      </c>
      <c r="B97" t="s">
        <v>138</v>
      </c>
    </row>
    <row r="98" spans="1:2" x14ac:dyDescent="0.3">
      <c r="A98" t="s">
        <v>347</v>
      </c>
      <c r="B98" t="s">
        <v>141</v>
      </c>
    </row>
    <row r="99" spans="1:2" x14ac:dyDescent="0.3">
      <c r="A99" t="s">
        <v>348</v>
      </c>
      <c r="B99" t="s">
        <v>143</v>
      </c>
    </row>
    <row r="100" spans="1:2" x14ac:dyDescent="0.3">
      <c r="A100" t="s">
        <v>349</v>
      </c>
      <c r="B100" t="s">
        <v>144</v>
      </c>
    </row>
    <row r="101" spans="1:2" x14ac:dyDescent="0.3">
      <c r="A101" t="s">
        <v>350</v>
      </c>
      <c r="B101" t="s">
        <v>145</v>
      </c>
    </row>
    <row r="102" spans="1:2" x14ac:dyDescent="0.3">
      <c r="A102" t="s">
        <v>351</v>
      </c>
      <c r="B102" t="s">
        <v>147</v>
      </c>
    </row>
    <row r="103" spans="1:2" x14ac:dyDescent="0.3">
      <c r="A103" t="s">
        <v>352</v>
      </c>
      <c r="B103" t="s">
        <v>148</v>
      </c>
    </row>
    <row r="104" spans="1:2" x14ac:dyDescent="0.3">
      <c r="A104" t="s">
        <v>337</v>
      </c>
      <c r="B104" t="s">
        <v>150</v>
      </c>
    </row>
    <row r="105" spans="1:2" x14ac:dyDescent="0.3">
      <c r="A105" t="s">
        <v>353</v>
      </c>
      <c r="B105" t="s">
        <v>151</v>
      </c>
    </row>
    <row r="106" spans="1:2" x14ac:dyDescent="0.3">
      <c r="A106" t="s">
        <v>354</v>
      </c>
      <c r="B106" t="s">
        <v>152</v>
      </c>
    </row>
    <row r="107" spans="1:2" x14ac:dyDescent="0.3">
      <c r="A107" t="s">
        <v>355</v>
      </c>
      <c r="B107" t="s">
        <v>153</v>
      </c>
    </row>
    <row r="108" spans="1:2" x14ac:dyDescent="0.3">
      <c r="A108" t="s">
        <v>356</v>
      </c>
      <c r="B108" t="s">
        <v>154</v>
      </c>
    </row>
    <row r="109" spans="1:2" x14ac:dyDescent="0.3">
      <c r="A109" t="s">
        <v>357</v>
      </c>
      <c r="B109" t="s">
        <v>155</v>
      </c>
    </row>
    <row r="110" spans="1:2" x14ac:dyDescent="0.3">
      <c r="A110" t="s">
        <v>358</v>
      </c>
      <c r="B110" t="s">
        <v>156</v>
      </c>
    </row>
    <row r="111" spans="1:2" x14ac:dyDescent="0.3">
      <c r="A111" t="s">
        <v>359</v>
      </c>
      <c r="B111" t="s">
        <v>157</v>
      </c>
    </row>
    <row r="112" spans="1:2" x14ac:dyDescent="0.3">
      <c r="A112" t="s">
        <v>360</v>
      </c>
      <c r="B112" t="s">
        <v>158</v>
      </c>
    </row>
    <row r="113" spans="1:2" x14ac:dyDescent="0.3">
      <c r="A113" t="s">
        <v>361</v>
      </c>
      <c r="B113" t="s">
        <v>159</v>
      </c>
    </row>
    <row r="114" spans="1:2" x14ac:dyDescent="0.3">
      <c r="A114" t="s">
        <v>362</v>
      </c>
      <c r="B114" t="s">
        <v>160</v>
      </c>
    </row>
    <row r="115" spans="1:2" x14ac:dyDescent="0.3">
      <c r="A115" t="s">
        <v>342</v>
      </c>
      <c r="B115" t="s">
        <v>161</v>
      </c>
    </row>
    <row r="116" spans="1:2" x14ac:dyDescent="0.3">
      <c r="A116" t="s">
        <v>363</v>
      </c>
      <c r="B116" t="s">
        <v>162</v>
      </c>
    </row>
    <row r="117" spans="1:2" x14ac:dyDescent="0.3">
      <c r="A117" t="s">
        <v>364</v>
      </c>
      <c r="B117" t="s">
        <v>365</v>
      </c>
    </row>
    <row r="118" spans="1:2" x14ac:dyDescent="0.3">
      <c r="A118" t="s">
        <v>340</v>
      </c>
      <c r="B118" t="s">
        <v>165</v>
      </c>
    </row>
    <row r="119" spans="1:2" x14ac:dyDescent="0.3">
      <c r="A119" t="s">
        <v>366</v>
      </c>
      <c r="B119" t="s">
        <v>166</v>
      </c>
    </row>
    <row r="120" spans="1:2" x14ac:dyDescent="0.3">
      <c r="A120" t="s">
        <v>367</v>
      </c>
      <c r="B120" t="s">
        <v>167</v>
      </c>
    </row>
    <row r="121" spans="1:2" x14ac:dyDescent="0.3">
      <c r="A121" t="s">
        <v>368</v>
      </c>
      <c r="B121" t="s">
        <v>168</v>
      </c>
    </row>
    <row r="122" spans="1:2" x14ac:dyDescent="0.3">
      <c r="A122" t="s">
        <v>369</v>
      </c>
      <c r="B122" t="s">
        <v>169</v>
      </c>
    </row>
    <row r="123" spans="1:2" x14ac:dyDescent="0.3">
      <c r="A123" t="s">
        <v>370</v>
      </c>
      <c r="B123" t="s">
        <v>170</v>
      </c>
    </row>
    <row r="124" spans="1:2" x14ac:dyDescent="0.3">
      <c r="A124" t="s">
        <v>371</v>
      </c>
      <c r="B124" t="s">
        <v>172</v>
      </c>
    </row>
    <row r="125" spans="1:2" x14ac:dyDescent="0.3">
      <c r="A125" t="s">
        <v>372</v>
      </c>
      <c r="B125" t="s">
        <v>173</v>
      </c>
    </row>
    <row r="126" spans="1:2" x14ac:dyDescent="0.3">
      <c r="A126" t="s">
        <v>373</v>
      </c>
      <c r="B126" t="s">
        <v>174</v>
      </c>
    </row>
    <row r="127" spans="1:2" x14ac:dyDescent="0.3">
      <c r="A127" t="s">
        <v>343</v>
      </c>
      <c r="B127" t="s">
        <v>177</v>
      </c>
    </row>
    <row r="128" spans="1:2" x14ac:dyDescent="0.3">
      <c r="A128" t="s">
        <v>374</v>
      </c>
      <c r="B128" t="s">
        <v>178</v>
      </c>
    </row>
    <row r="129" spans="1:2" x14ac:dyDescent="0.3">
      <c r="A129" t="s">
        <v>375</v>
      </c>
      <c r="B129" t="s">
        <v>179</v>
      </c>
    </row>
    <row r="130" spans="1:2" x14ac:dyDescent="0.3">
      <c r="A130" t="s">
        <v>297</v>
      </c>
      <c r="B130" t="s">
        <v>180</v>
      </c>
    </row>
    <row r="131" spans="1:2" x14ac:dyDescent="0.3">
      <c r="A131" t="s">
        <v>376</v>
      </c>
      <c r="B131" t="s">
        <v>181</v>
      </c>
    </row>
    <row r="132" spans="1:2" x14ac:dyDescent="0.3">
      <c r="A132" t="s">
        <v>377</v>
      </c>
      <c r="B132" t="s">
        <v>182</v>
      </c>
    </row>
    <row r="133" spans="1:2" x14ac:dyDescent="0.3">
      <c r="A133" t="s">
        <v>378</v>
      </c>
      <c r="B133" t="s">
        <v>183</v>
      </c>
    </row>
    <row r="134" spans="1:2" x14ac:dyDescent="0.3">
      <c r="A134" t="s">
        <v>379</v>
      </c>
      <c r="B134" t="s">
        <v>184</v>
      </c>
    </row>
    <row r="135" spans="1:2" x14ac:dyDescent="0.3">
      <c r="A135" t="s">
        <v>380</v>
      </c>
      <c r="B135" t="s">
        <v>185</v>
      </c>
    </row>
    <row r="136" spans="1:2" x14ac:dyDescent="0.3">
      <c r="A136" t="s">
        <v>381</v>
      </c>
      <c r="B136" t="s">
        <v>186</v>
      </c>
    </row>
    <row r="137" spans="1:2" x14ac:dyDescent="0.3">
      <c r="A137" t="s">
        <v>382</v>
      </c>
      <c r="B137" t="s">
        <v>187</v>
      </c>
    </row>
    <row r="138" spans="1:2" x14ac:dyDescent="0.3">
      <c r="A138" t="s">
        <v>383</v>
      </c>
      <c r="B138" t="s">
        <v>188</v>
      </c>
    </row>
    <row r="139" spans="1:2" x14ac:dyDescent="0.3">
      <c r="A139" t="s">
        <v>384</v>
      </c>
      <c r="B139" t="s">
        <v>189</v>
      </c>
    </row>
    <row r="140" spans="1:2" x14ac:dyDescent="0.3">
      <c r="A140" t="s">
        <v>385</v>
      </c>
      <c r="B140" t="s">
        <v>190</v>
      </c>
    </row>
    <row r="141" spans="1:2" x14ac:dyDescent="0.3">
      <c r="A141" t="s">
        <v>386</v>
      </c>
      <c r="B141" t="s">
        <v>191</v>
      </c>
    </row>
    <row r="142" spans="1:2" x14ac:dyDescent="0.3">
      <c r="A142" t="s">
        <v>387</v>
      </c>
      <c r="B142" t="s">
        <v>192</v>
      </c>
    </row>
    <row r="143" spans="1:2" x14ac:dyDescent="0.3">
      <c r="A143" t="s">
        <v>388</v>
      </c>
      <c r="B143" t="s">
        <v>193</v>
      </c>
    </row>
    <row r="144" spans="1:2" x14ac:dyDescent="0.3">
      <c r="A144" t="s">
        <v>389</v>
      </c>
      <c r="B144" t="s">
        <v>194</v>
      </c>
    </row>
    <row r="145" spans="1:2" x14ac:dyDescent="0.3">
      <c r="A145" t="s">
        <v>390</v>
      </c>
      <c r="B145" t="s">
        <v>195</v>
      </c>
    </row>
    <row r="146" spans="1:2" x14ac:dyDescent="0.3">
      <c r="A146" t="s">
        <v>391</v>
      </c>
      <c r="B146" t="s">
        <v>196</v>
      </c>
    </row>
    <row r="147" spans="1:2" x14ac:dyDescent="0.3">
      <c r="A147" t="s">
        <v>392</v>
      </c>
      <c r="B147" t="s">
        <v>197</v>
      </c>
    </row>
    <row r="148" spans="1:2" x14ac:dyDescent="0.3">
      <c r="A148" t="s">
        <v>393</v>
      </c>
      <c r="B148" t="s">
        <v>198</v>
      </c>
    </row>
    <row r="149" spans="1:2" x14ac:dyDescent="0.3">
      <c r="A149" t="s">
        <v>394</v>
      </c>
      <c r="B149" t="s">
        <v>199</v>
      </c>
    </row>
    <row r="150" spans="1:2" x14ac:dyDescent="0.3">
      <c r="A150" t="s">
        <v>395</v>
      </c>
      <c r="B150" t="s">
        <v>200</v>
      </c>
    </row>
    <row r="151" spans="1:2" x14ac:dyDescent="0.3">
      <c r="A151" t="s">
        <v>396</v>
      </c>
      <c r="B151" t="s">
        <v>201</v>
      </c>
    </row>
    <row r="152" spans="1:2" x14ac:dyDescent="0.3">
      <c r="A152" t="s">
        <v>397</v>
      </c>
      <c r="B152" t="s">
        <v>202</v>
      </c>
    </row>
    <row r="153" spans="1:2" x14ac:dyDescent="0.3">
      <c r="A153" t="s">
        <v>398</v>
      </c>
      <c r="B153" t="s">
        <v>203</v>
      </c>
    </row>
    <row r="154" spans="1:2" x14ac:dyDescent="0.3">
      <c r="A154" t="s">
        <v>399</v>
      </c>
      <c r="B154" t="s">
        <v>204</v>
      </c>
    </row>
    <row r="155" spans="1:2" x14ac:dyDescent="0.3">
      <c r="A155" t="s">
        <v>400</v>
      </c>
      <c r="B155" t="s">
        <v>205</v>
      </c>
    </row>
    <row r="156" spans="1:2" x14ac:dyDescent="0.3">
      <c r="A156" t="s">
        <v>401</v>
      </c>
      <c r="B156" t="s">
        <v>206</v>
      </c>
    </row>
    <row r="157" spans="1:2" x14ac:dyDescent="0.3">
      <c r="A157" t="s">
        <v>402</v>
      </c>
      <c r="B157" t="s">
        <v>207</v>
      </c>
    </row>
    <row r="158" spans="1:2" x14ac:dyDescent="0.3">
      <c r="A158" t="s">
        <v>403</v>
      </c>
      <c r="B158" t="s">
        <v>208</v>
      </c>
    </row>
    <row r="159" spans="1:2" x14ac:dyDescent="0.3">
      <c r="A159" t="s">
        <v>404</v>
      </c>
      <c r="B159" t="s">
        <v>209</v>
      </c>
    </row>
    <row r="160" spans="1:2" x14ac:dyDescent="0.3">
      <c r="A160" t="s">
        <v>405</v>
      </c>
      <c r="B160" t="s">
        <v>210</v>
      </c>
    </row>
    <row r="161" spans="1:2" x14ac:dyDescent="0.3">
      <c r="A161" t="s">
        <v>406</v>
      </c>
      <c r="B161" t="s">
        <v>211</v>
      </c>
    </row>
    <row r="162" spans="1:2" x14ac:dyDescent="0.3">
      <c r="A162" t="s">
        <v>407</v>
      </c>
      <c r="B162" t="s">
        <v>212</v>
      </c>
    </row>
    <row r="163" spans="1:2" x14ac:dyDescent="0.3">
      <c r="A163" t="s">
        <v>408</v>
      </c>
      <c r="B163" t="s">
        <v>213</v>
      </c>
    </row>
    <row r="164" spans="1:2" x14ac:dyDescent="0.3">
      <c r="A164" t="s">
        <v>409</v>
      </c>
      <c r="B164" t="s">
        <v>214</v>
      </c>
    </row>
    <row r="165" spans="1:2" x14ac:dyDescent="0.3">
      <c r="A165" t="s">
        <v>410</v>
      </c>
      <c r="B165" t="s">
        <v>215</v>
      </c>
    </row>
    <row r="166" spans="1:2" x14ac:dyDescent="0.3">
      <c r="A166" t="s">
        <v>411</v>
      </c>
      <c r="B166" t="s">
        <v>216</v>
      </c>
    </row>
    <row r="167" spans="1:2" x14ac:dyDescent="0.3">
      <c r="A167" t="s">
        <v>412</v>
      </c>
      <c r="B167" t="s">
        <v>217</v>
      </c>
    </row>
    <row r="168" spans="1:2" x14ac:dyDescent="0.3">
      <c r="A168" t="s">
        <v>413</v>
      </c>
      <c r="B168" t="s">
        <v>218</v>
      </c>
    </row>
    <row r="169" spans="1:2" x14ac:dyDescent="0.3">
      <c r="A169" t="s">
        <v>414</v>
      </c>
      <c r="B169" t="s">
        <v>219</v>
      </c>
    </row>
    <row r="170" spans="1:2" x14ac:dyDescent="0.3">
      <c r="A170" t="s">
        <v>415</v>
      </c>
      <c r="B170" t="s">
        <v>220</v>
      </c>
    </row>
    <row r="171" spans="1:2" x14ac:dyDescent="0.3">
      <c r="A171" t="s">
        <v>416</v>
      </c>
      <c r="B171" t="s">
        <v>221</v>
      </c>
    </row>
    <row r="172" spans="1:2" x14ac:dyDescent="0.3">
      <c r="A172" t="s">
        <v>417</v>
      </c>
      <c r="B172" t="s">
        <v>222</v>
      </c>
    </row>
    <row r="173" spans="1:2" x14ac:dyDescent="0.3">
      <c r="A173" t="s">
        <v>418</v>
      </c>
      <c r="B173" t="s">
        <v>225</v>
      </c>
    </row>
    <row r="174" spans="1:2" x14ac:dyDescent="0.3">
      <c r="A174" t="s">
        <v>419</v>
      </c>
      <c r="B174" t="s">
        <v>226</v>
      </c>
    </row>
    <row r="175" spans="1:2" x14ac:dyDescent="0.3">
      <c r="A175" t="s">
        <v>420</v>
      </c>
      <c r="B175" t="s">
        <v>227</v>
      </c>
    </row>
    <row r="176" spans="1:2" x14ac:dyDescent="0.3">
      <c r="A176" t="s">
        <v>421</v>
      </c>
      <c r="B176" t="s">
        <v>228</v>
      </c>
    </row>
    <row r="177" spans="1:2" x14ac:dyDescent="0.3">
      <c r="A177" t="s">
        <v>422</v>
      </c>
      <c r="B177" t="s">
        <v>229</v>
      </c>
    </row>
    <row r="178" spans="1:2" x14ac:dyDescent="0.3">
      <c r="A178" t="s">
        <v>423</v>
      </c>
      <c r="B178" t="s">
        <v>230</v>
      </c>
    </row>
    <row r="179" spans="1:2" x14ac:dyDescent="0.3">
      <c r="A179" t="s">
        <v>424</v>
      </c>
      <c r="B179" t="s">
        <v>231</v>
      </c>
    </row>
    <row r="180" spans="1:2" x14ac:dyDescent="0.3">
      <c r="A180" t="s">
        <v>425</v>
      </c>
      <c r="B180" t="s">
        <v>232</v>
      </c>
    </row>
    <row r="181" spans="1:2" x14ac:dyDescent="0.3">
      <c r="A181" t="s">
        <v>426</v>
      </c>
      <c r="B181" t="s">
        <v>233</v>
      </c>
    </row>
    <row r="182" spans="1:2" x14ac:dyDescent="0.3">
      <c r="A182" t="s">
        <v>427</v>
      </c>
      <c r="B182" t="s">
        <v>234</v>
      </c>
    </row>
    <row r="183" spans="1:2" x14ac:dyDescent="0.3">
      <c r="A183" t="s">
        <v>428</v>
      </c>
      <c r="B183" t="s">
        <v>235</v>
      </c>
    </row>
    <row r="184" spans="1:2" x14ac:dyDescent="0.3">
      <c r="A184" t="s">
        <v>429</v>
      </c>
      <c r="B184" t="s">
        <v>236</v>
      </c>
    </row>
    <row r="185" spans="1:2" x14ac:dyDescent="0.3">
      <c r="A185" t="s">
        <v>430</v>
      </c>
      <c r="B185" t="s">
        <v>237</v>
      </c>
    </row>
    <row r="186" spans="1:2" x14ac:dyDescent="0.3">
      <c r="A186" t="s">
        <v>431</v>
      </c>
      <c r="B186" t="s">
        <v>238</v>
      </c>
    </row>
    <row r="187" spans="1:2" x14ac:dyDescent="0.3">
      <c r="A187" t="s">
        <v>432</v>
      </c>
      <c r="B187" t="s">
        <v>239</v>
      </c>
    </row>
    <row r="188" spans="1:2" x14ac:dyDescent="0.3">
      <c r="A188" t="s">
        <v>433</v>
      </c>
      <c r="B188" t="s">
        <v>240</v>
      </c>
    </row>
    <row r="189" spans="1:2" x14ac:dyDescent="0.3">
      <c r="A189" t="s">
        <v>434</v>
      </c>
      <c r="B189" t="s">
        <v>241</v>
      </c>
    </row>
    <row r="190" spans="1:2" x14ac:dyDescent="0.3">
      <c r="A190" t="s">
        <v>493</v>
      </c>
      <c r="B190" t="s">
        <v>243</v>
      </c>
    </row>
    <row r="191" spans="1:2" x14ac:dyDescent="0.3">
      <c r="A191" t="s">
        <v>435</v>
      </c>
      <c r="B191" t="s">
        <v>245</v>
      </c>
    </row>
    <row r="192" spans="1:2" x14ac:dyDescent="0.3">
      <c r="A192" t="s">
        <v>436</v>
      </c>
      <c r="B192" t="s">
        <v>246</v>
      </c>
    </row>
    <row r="193" spans="1:2" x14ac:dyDescent="0.3">
      <c r="A193" t="s">
        <v>437</v>
      </c>
      <c r="B193" t="s">
        <v>247</v>
      </c>
    </row>
    <row r="194" spans="1:2" x14ac:dyDescent="0.3">
      <c r="A194" t="s">
        <v>492</v>
      </c>
      <c r="B194" t="s">
        <v>491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903B6-5220-4B6F-BA4D-A9C92568E5F1}">
  <sheetPr codeName="Sheet5"/>
  <dimension ref="A1:AV60"/>
  <sheetViews>
    <sheetView topLeftCell="Z1" zoomScale="70" zoomScaleNormal="70" workbookViewId="0">
      <selection activeCell="AM28" sqref="AM28"/>
    </sheetView>
  </sheetViews>
  <sheetFormatPr defaultRowHeight="14.4" x14ac:dyDescent="0.3"/>
  <cols>
    <col min="1" max="1" width="12" bestFit="1" customWidth="1"/>
    <col min="2" max="2" width="10.296875" bestFit="1" customWidth="1"/>
    <col min="3" max="3" width="9.8984375" bestFit="1" customWidth="1"/>
    <col min="5" max="5" width="14.59765625" bestFit="1" customWidth="1"/>
    <col min="6" max="6" width="19.69921875" customWidth="1"/>
    <col min="7" max="7" width="20.09765625" bestFit="1" customWidth="1"/>
    <col min="8" max="8" width="8.8984375" bestFit="1" customWidth="1"/>
    <col min="9" max="9" width="16.8984375" bestFit="1" customWidth="1"/>
    <col min="10" max="10" width="15.69921875" bestFit="1" customWidth="1"/>
    <col min="11" max="11" width="19.69921875" bestFit="1" customWidth="1"/>
    <col min="12" max="12" width="15.3984375" bestFit="1" customWidth="1"/>
    <col min="13" max="13" width="13.69921875" bestFit="1" customWidth="1"/>
    <col min="14" max="15" width="11" bestFit="1" customWidth="1"/>
    <col min="16" max="16" width="7.3984375" bestFit="1" customWidth="1"/>
    <col min="17" max="17" width="12.69921875" bestFit="1" customWidth="1"/>
    <col min="18" max="18" width="11.3984375" bestFit="1" customWidth="1"/>
    <col min="19" max="19" width="10.8984375" bestFit="1" customWidth="1"/>
    <col min="20" max="20" width="10.69921875" bestFit="1" customWidth="1"/>
    <col min="21" max="21" width="16" bestFit="1" customWidth="1"/>
    <col min="22" max="22" width="10.69921875" bestFit="1" customWidth="1"/>
    <col min="23" max="23" width="9.5" bestFit="1" customWidth="1"/>
    <col min="24" max="24" width="12.59765625" bestFit="1" customWidth="1"/>
    <col min="25" max="25" width="16.296875" bestFit="1" customWidth="1"/>
    <col min="26" max="26" width="13.8984375" bestFit="1" customWidth="1"/>
    <col min="27" max="27" width="10.796875" bestFit="1" customWidth="1"/>
    <col min="28" max="28" width="11.8984375" bestFit="1" customWidth="1"/>
    <col min="29" max="29" width="11.796875" bestFit="1" customWidth="1"/>
    <col min="30" max="30" width="11.8984375" bestFit="1" customWidth="1"/>
    <col min="31" max="31" width="12.8984375" bestFit="1" customWidth="1"/>
    <col min="32" max="32" width="12.5" bestFit="1" customWidth="1"/>
    <col min="33" max="33" width="10.3984375" bestFit="1" customWidth="1"/>
    <col min="34" max="34" width="15.5" bestFit="1" customWidth="1"/>
    <col min="35" max="35" width="18" bestFit="1" customWidth="1"/>
    <col min="36" max="36" width="15.8984375" bestFit="1" customWidth="1"/>
    <col min="37" max="37" width="14" bestFit="1" customWidth="1"/>
    <col min="38" max="38" width="10.8984375" bestFit="1" customWidth="1"/>
    <col min="39" max="39" width="11.69921875" bestFit="1" customWidth="1"/>
    <col min="40" max="40" width="10.296875" bestFit="1" customWidth="1"/>
    <col min="44" max="44" width="10.3984375" customWidth="1"/>
  </cols>
  <sheetData>
    <row r="1" spans="1:48" x14ac:dyDescent="0.3">
      <c r="A1" s="37" t="s">
        <v>500</v>
      </c>
      <c r="B1" s="37" t="s">
        <v>501</v>
      </c>
      <c r="C1" s="38" t="s">
        <v>502</v>
      </c>
      <c r="E1" t="s">
        <v>528</v>
      </c>
      <c r="F1" t="s">
        <v>497</v>
      </c>
      <c r="G1" t="s">
        <v>529</v>
      </c>
      <c r="I1" s="35"/>
      <c r="J1" t="s">
        <v>592</v>
      </c>
      <c r="K1" t="s">
        <v>593</v>
      </c>
      <c r="L1" t="s">
        <v>594</v>
      </c>
      <c r="M1" t="s">
        <v>595</v>
      </c>
      <c r="N1" t="s">
        <v>596</v>
      </c>
      <c r="O1" t="s">
        <v>597</v>
      </c>
      <c r="P1" t="s">
        <v>598</v>
      </c>
      <c r="Q1" t="s">
        <v>599</v>
      </c>
      <c r="R1" t="s">
        <v>600</v>
      </c>
      <c r="S1" t="s">
        <v>601</v>
      </c>
      <c r="T1" t="s">
        <v>602</v>
      </c>
      <c r="U1" t="s">
        <v>603</v>
      </c>
      <c r="V1" t="s">
        <v>604</v>
      </c>
      <c r="W1" t="s">
        <v>605</v>
      </c>
      <c r="X1" t="s">
        <v>606</v>
      </c>
      <c r="Y1" t="s">
        <v>607</v>
      </c>
      <c r="Z1" t="s">
        <v>608</v>
      </c>
      <c r="AA1" t="s">
        <v>609</v>
      </c>
      <c r="AB1" t="s">
        <v>610</v>
      </c>
      <c r="AC1" t="s">
        <v>611</v>
      </c>
      <c r="AD1" t="s">
        <v>612</v>
      </c>
      <c r="AE1" t="s">
        <v>613</v>
      </c>
      <c r="AF1" t="s">
        <v>614</v>
      </c>
      <c r="AG1" t="s">
        <v>615</v>
      </c>
      <c r="AH1" t="s">
        <v>616</v>
      </c>
      <c r="AI1" t="s">
        <v>617</v>
      </c>
      <c r="AJ1" t="s">
        <v>618</v>
      </c>
      <c r="AK1" t="s">
        <v>619</v>
      </c>
      <c r="AL1" t="s">
        <v>620</v>
      </c>
      <c r="AM1" t="s">
        <v>621</v>
      </c>
      <c r="AN1" t="s">
        <v>622</v>
      </c>
      <c r="AP1" t="s">
        <v>629</v>
      </c>
      <c r="AQ1" t="s">
        <v>630</v>
      </c>
      <c r="AR1" t="s">
        <v>631</v>
      </c>
      <c r="AS1" t="s">
        <v>632</v>
      </c>
      <c r="AU1" t="s">
        <v>475</v>
      </c>
      <c r="AV1" t="s">
        <v>443</v>
      </c>
    </row>
    <row r="2" spans="1:48" x14ac:dyDescent="0.3">
      <c r="A2" s="39" t="s">
        <v>503</v>
      </c>
      <c r="B2" s="39">
        <v>0</v>
      </c>
      <c r="C2">
        <v>30</v>
      </c>
      <c r="F2" s="111" t="s">
        <v>498</v>
      </c>
      <c r="G2" s="112">
        <f>2000000000000/10^9</f>
        <v>2000</v>
      </c>
      <c r="J2" t="s">
        <v>623</v>
      </c>
      <c r="K2" t="s">
        <v>624</v>
      </c>
      <c r="L2" t="s">
        <v>589</v>
      </c>
      <c r="M2" t="s">
        <v>625</v>
      </c>
      <c r="N2" t="s">
        <v>626</v>
      </c>
      <c r="O2" t="s">
        <v>627</v>
      </c>
      <c r="P2">
        <v>70.725999999999999</v>
      </c>
      <c r="Q2">
        <v>71</v>
      </c>
      <c r="R2">
        <v>6372854</v>
      </c>
      <c r="S2">
        <v>637285400</v>
      </c>
      <c r="T2">
        <v>68.569999999999993</v>
      </c>
      <c r="U2">
        <v>450726472</v>
      </c>
      <c r="V2">
        <v>6</v>
      </c>
      <c r="W2">
        <v>0</v>
      </c>
      <c r="X2">
        <v>0</v>
      </c>
      <c r="Y2">
        <v>0</v>
      </c>
      <c r="Z2">
        <v>-2664347.4333928446</v>
      </c>
      <c r="AA2">
        <v>14.5</v>
      </c>
      <c r="AB2">
        <v>3.9093738499785</v>
      </c>
      <c r="AC2">
        <v>4.1928034500000004</v>
      </c>
      <c r="AD2">
        <v>18.789175267122801</v>
      </c>
      <c r="AE2">
        <v>85.0977684442</v>
      </c>
      <c r="AF2">
        <v>-177.05885751599999</v>
      </c>
      <c r="AG2">
        <v>172.28899999999999</v>
      </c>
      <c r="AH2">
        <v>0</v>
      </c>
      <c r="AI2">
        <v>13739873.224000039</v>
      </c>
      <c r="AJ2">
        <v>13739873.223999999</v>
      </c>
      <c r="AK2">
        <v>13739873.223999999</v>
      </c>
      <c r="AL2">
        <v>4126588869.5079999</v>
      </c>
      <c r="AM2">
        <v>4126588869.5081935</v>
      </c>
      <c r="AN2">
        <v>15.2</v>
      </c>
      <c r="AP2" t="s">
        <v>633</v>
      </c>
      <c r="AQ2">
        <v>300.1927</v>
      </c>
      <c r="AR2" s="27">
        <v>46237</v>
      </c>
      <c r="AU2" t="s">
        <v>587</v>
      </c>
      <c r="AV2" t="s">
        <v>40</v>
      </c>
    </row>
    <row r="3" spans="1:48" x14ac:dyDescent="0.3">
      <c r="A3" s="39" t="s">
        <v>504</v>
      </c>
      <c r="B3" s="39">
        <v>31</v>
      </c>
      <c r="C3">
        <v>90</v>
      </c>
      <c r="F3" s="111" t="s">
        <v>551</v>
      </c>
      <c r="G3" s="112">
        <v>2000</v>
      </c>
      <c r="J3" t="s">
        <v>623</v>
      </c>
      <c r="K3" t="s">
        <v>624</v>
      </c>
      <c r="L3" t="s">
        <v>590</v>
      </c>
      <c r="M3" t="s">
        <v>625</v>
      </c>
      <c r="N3" t="s">
        <v>628</v>
      </c>
      <c r="O3" t="s">
        <v>627</v>
      </c>
      <c r="P3">
        <v>70.513999999999996</v>
      </c>
      <c r="Q3">
        <v>71</v>
      </c>
      <c r="R3">
        <v>12745000</v>
      </c>
      <c r="S3">
        <v>1274500000</v>
      </c>
      <c r="T3">
        <v>68.569999999999993</v>
      </c>
      <c r="U3">
        <v>898700930</v>
      </c>
      <c r="V3">
        <v>6</v>
      </c>
      <c r="W3">
        <v>0</v>
      </c>
      <c r="X3">
        <v>0</v>
      </c>
      <c r="Y3">
        <v>0</v>
      </c>
      <c r="Z3">
        <v>-1796867.196573846</v>
      </c>
      <c r="AA3">
        <v>14.52</v>
      </c>
      <c r="AB3">
        <v>3.9445289343195</v>
      </c>
      <c r="AC3">
        <v>4.2309017300000002</v>
      </c>
      <c r="AD3">
        <v>19.080553771653001</v>
      </c>
      <c r="AE3">
        <v>171.75465847890001</v>
      </c>
      <c r="AF3">
        <v>-355.068950347</v>
      </c>
      <c r="AG3">
        <v>342.91399999999999</v>
      </c>
      <c r="AH3">
        <v>0</v>
      </c>
      <c r="AI3">
        <v>24776280.000000034</v>
      </c>
      <c r="AJ3">
        <v>24776280</v>
      </c>
      <c r="AK3">
        <v>24776280</v>
      </c>
      <c r="AL3">
        <v>7441227412.29</v>
      </c>
      <c r="AM3">
        <v>7441227412.2900095</v>
      </c>
      <c r="AN3">
        <v>15.2</v>
      </c>
    </row>
    <row r="4" spans="1:48" x14ac:dyDescent="0.3">
      <c r="A4" s="39" t="s">
        <v>505</v>
      </c>
      <c r="B4" s="39">
        <v>91</v>
      </c>
      <c r="C4">
        <v>180</v>
      </c>
      <c r="F4" s="111" t="s">
        <v>552</v>
      </c>
      <c r="G4" s="112">
        <v>1000</v>
      </c>
    </row>
    <row r="5" spans="1:48" x14ac:dyDescent="0.3">
      <c r="A5" s="39" t="s">
        <v>506</v>
      </c>
      <c r="B5" s="39">
        <v>181</v>
      </c>
      <c r="C5">
        <v>365</v>
      </c>
      <c r="F5" s="111" t="s">
        <v>548</v>
      </c>
      <c r="G5" s="112">
        <v>1500</v>
      </c>
    </row>
    <row r="6" spans="1:48" x14ac:dyDescent="0.3">
      <c r="A6" s="39" t="s">
        <v>508</v>
      </c>
      <c r="B6" s="39">
        <v>366</v>
      </c>
      <c r="C6">
        <v>730</v>
      </c>
    </row>
    <row r="7" spans="1:48" x14ac:dyDescent="0.3">
      <c r="A7" s="39" t="s">
        <v>507</v>
      </c>
      <c r="B7" s="39">
        <v>731</v>
      </c>
      <c r="C7">
        <v>1095</v>
      </c>
    </row>
    <row r="8" spans="1:48" x14ac:dyDescent="0.3">
      <c r="A8" s="39" t="s">
        <v>509</v>
      </c>
      <c r="B8" s="39">
        <v>1096</v>
      </c>
      <c r="C8">
        <v>1825</v>
      </c>
    </row>
    <row r="9" spans="1:48" x14ac:dyDescent="0.3">
      <c r="A9" s="39" t="s">
        <v>510</v>
      </c>
      <c r="B9" s="39">
        <v>1826</v>
      </c>
      <c r="C9">
        <v>2555</v>
      </c>
    </row>
    <row r="10" spans="1:48" x14ac:dyDescent="0.3">
      <c r="A10" s="39" t="s">
        <v>511</v>
      </c>
      <c r="B10" s="39">
        <v>2556</v>
      </c>
      <c r="C10">
        <v>100000</v>
      </c>
    </row>
    <row r="11" spans="1:48" x14ac:dyDescent="0.3">
      <c r="A11" s="39"/>
      <c r="B11" s="39"/>
    </row>
    <row r="12" spans="1:48" x14ac:dyDescent="0.3">
      <c r="A12" s="39"/>
      <c r="B12" s="39"/>
    </row>
    <row r="13" spans="1:48" x14ac:dyDescent="0.3">
      <c r="A13" s="39"/>
      <c r="B13" s="39"/>
    </row>
    <row r="20" spans="8:9" x14ac:dyDescent="0.3">
      <c r="H20" s="27"/>
      <c r="I20" s="35"/>
    </row>
    <row r="21" spans="8:9" x14ac:dyDescent="0.3">
      <c r="H21" s="27"/>
      <c r="I21" s="35"/>
    </row>
    <row r="22" spans="8:9" x14ac:dyDescent="0.3">
      <c r="H22" s="27"/>
      <c r="I22" s="35"/>
    </row>
    <row r="23" spans="8:9" x14ac:dyDescent="0.3">
      <c r="H23" s="27"/>
      <c r="I23" s="35"/>
    </row>
    <row r="24" spans="8:9" x14ac:dyDescent="0.3">
      <c r="H24" s="27"/>
      <c r="I24" s="35"/>
    </row>
    <row r="25" spans="8:9" x14ac:dyDescent="0.3">
      <c r="H25" s="27"/>
    </row>
    <row r="26" spans="8:9" x14ac:dyDescent="0.3">
      <c r="H26" s="27"/>
    </row>
    <row r="27" spans="8:9" x14ac:dyDescent="0.3">
      <c r="H27" s="27"/>
    </row>
    <row r="28" spans="8:9" x14ac:dyDescent="0.3">
      <c r="H28" s="27"/>
    </row>
    <row r="29" spans="8:9" x14ac:dyDescent="0.3">
      <c r="H29" s="27"/>
    </row>
    <row r="30" spans="8:9" x14ac:dyDescent="0.3">
      <c r="H30" s="27"/>
    </row>
    <row r="31" spans="8:9" x14ac:dyDescent="0.3">
      <c r="H31" s="27"/>
    </row>
    <row r="32" spans="8:9" x14ac:dyDescent="0.3">
      <c r="H32" s="27"/>
    </row>
    <row r="33" spans="8:8" x14ac:dyDescent="0.3">
      <c r="H33" s="27"/>
    </row>
    <row r="34" spans="8:8" x14ac:dyDescent="0.3">
      <c r="H34" s="27"/>
    </row>
    <row r="35" spans="8:8" x14ac:dyDescent="0.3">
      <c r="H35" s="27"/>
    </row>
    <row r="36" spans="8:8" x14ac:dyDescent="0.3">
      <c r="H36" s="27"/>
    </row>
    <row r="37" spans="8:8" x14ac:dyDescent="0.3">
      <c r="H37" s="27"/>
    </row>
    <row r="38" spans="8:8" x14ac:dyDescent="0.3">
      <c r="H38" s="27"/>
    </row>
    <row r="39" spans="8:8" x14ac:dyDescent="0.3">
      <c r="H39" s="27"/>
    </row>
    <row r="40" spans="8:8" x14ac:dyDescent="0.3">
      <c r="H40" s="27"/>
    </row>
    <row r="41" spans="8:8" x14ac:dyDescent="0.3">
      <c r="H41" s="27"/>
    </row>
    <row r="42" spans="8:8" x14ac:dyDescent="0.3">
      <c r="H42" s="27"/>
    </row>
    <row r="43" spans="8:8" x14ac:dyDescent="0.3">
      <c r="H43" s="27"/>
    </row>
    <row r="44" spans="8:8" x14ac:dyDescent="0.3">
      <c r="H44" s="27"/>
    </row>
    <row r="45" spans="8:8" x14ac:dyDescent="0.3">
      <c r="H45" s="27"/>
    </row>
    <row r="46" spans="8:8" x14ac:dyDescent="0.3">
      <c r="H46" s="27"/>
    </row>
    <row r="47" spans="8:8" x14ac:dyDescent="0.3">
      <c r="H47" s="27"/>
    </row>
    <row r="48" spans="8:8" x14ac:dyDescent="0.3">
      <c r="H48" s="27"/>
    </row>
    <row r="49" spans="8:8" x14ac:dyDescent="0.3">
      <c r="H49" s="27"/>
    </row>
    <row r="50" spans="8:8" x14ac:dyDescent="0.3">
      <c r="H50" s="27"/>
    </row>
    <row r="51" spans="8:8" x14ac:dyDescent="0.3">
      <c r="H51" s="27"/>
    </row>
    <row r="52" spans="8:8" x14ac:dyDescent="0.3">
      <c r="H52" s="27"/>
    </row>
    <row r="53" spans="8:8" x14ac:dyDescent="0.3">
      <c r="H53" s="27"/>
    </row>
    <row r="54" spans="8:8" x14ac:dyDescent="0.3">
      <c r="H54" s="27"/>
    </row>
    <row r="55" spans="8:8" x14ac:dyDescent="0.3">
      <c r="H55" s="27"/>
    </row>
    <row r="56" spans="8:8" x14ac:dyDescent="0.3">
      <c r="H56" s="27"/>
    </row>
    <row r="57" spans="8:8" x14ac:dyDescent="0.3">
      <c r="H57" s="27"/>
    </row>
    <row r="58" spans="8:8" x14ac:dyDescent="0.3">
      <c r="H58" s="27"/>
    </row>
    <row r="59" spans="8:8" x14ac:dyDescent="0.3">
      <c r="H59" s="27"/>
    </row>
    <row r="60" spans="8:8" x14ac:dyDescent="0.3">
      <c r="H60" s="27"/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EC0CA9-2781-41FD-BF46-74508E9DBF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Log</vt:lpstr>
      <vt:lpstr>Report</vt:lpstr>
      <vt:lpstr>Portfolio</vt:lpstr>
      <vt:lpstr>Rating</vt:lpstr>
      <vt:lpstr>Cpty</vt:lpstr>
      <vt:lpstr>Ref</vt:lpstr>
      <vt:lpstr>Ạ2</vt:lpstr>
      <vt:lpstr>RPT</vt:lpstr>
      <vt:lpstr>Yesterday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Thao Tran Thi Phuong (QLRR-TTTK)</dc:creator>
  <cp:lastModifiedBy>Lam Pham Duc (QLRR - QLRRTTTK RRTT&amp;LSSNH)</cp:lastModifiedBy>
  <dcterms:created xsi:type="dcterms:W3CDTF">2025-10-03T10:32:34Z</dcterms:created>
  <dcterms:modified xsi:type="dcterms:W3CDTF">2026-09-03T09:48:14Z</dcterms:modified>
</cp:coreProperties>
</file>